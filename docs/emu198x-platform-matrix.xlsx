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Matrix" sheetId="1" state="visible" r:id="rId3"/>
    <sheet name="Component Library" sheetId="2" state="visible" r:id="rId4"/>
    <sheet name="Coverage Stats" sheetId="3" state="visible" r:id="rId5"/>
  </sheets>
  <definedNames>
    <definedName function="false" hidden="true" localSheetId="1" name="_xlnm._FilterDatabase" vbProcedure="false">'Component Library'!$A$1:$G$90</definedName>
    <definedName function="false" hidden="true" localSheetId="0" name="_xlnm._FilterDatabase" vbProcedure="false">'Platform Matrix'!$A$1:$L$87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<sst xmlns="http://schemas.openxmlformats.org/spreadsheetml/2006/main" count="1593" uniqueCount="834">
  <si>
    <t xml:space="preserve">Platform</t>
  </si>
  <si>
    <t xml:space="preserve">Region</t>
  </si>
  <si>
    <t xml:space="preserve">Year</t>
  </si>
  <si>
    <t xml:space="preserve">Type</t>
  </si>
  <si>
    <t xml:space="preserve">CPU</t>
  </si>
  <si>
    <t xml:space="preserve">CPU Clock</t>
  </si>
  <si>
    <t xml:space="preserve">Video Chip</t>
  </si>
  <si>
    <t xml:space="preserve">Sound Chip</t>
  </si>
  <si>
    <t xml:space="preserve">Other Key Chips</t>
  </si>
  <si>
    <t xml:space="preserve">RAM</t>
  </si>
  <si>
    <t xml:space="preserve">Core Status</t>
  </si>
  <si>
    <t xml:space="preserve">Notes</t>
  </si>
  <si>
    <t xml:space="preserve">EARLY HOME COMPUTERS (pre-1980)</t>
  </si>
  <si>
    <t xml:space="preserve">Apple I</t>
  </si>
  <si>
    <t xml:space="preserve">US</t>
  </si>
  <si>
    <t xml:space="preserve">1976</t>
  </si>
  <si>
    <t xml:space="preserve">Computer</t>
  </si>
  <si>
    <t xml:space="preserve">6502</t>
  </si>
  <si>
    <t xml:space="preserve">1 MHz</t>
  </si>
  <si>
    <t xml:space="preserve">None (terminal)</t>
  </si>
  <si>
    <t xml:space="preserve">None</t>
  </si>
  <si>
    <t xml:space="preserve">6820 PIA</t>
  </si>
  <si>
    <t xml:space="preserve">4-8K</t>
  </si>
  <si>
    <t xml:space="preserve">TODO</t>
  </si>
  <si>
    <t xml:space="preserve">Minimal hardware; terminal display</t>
  </si>
  <si>
    <t xml:space="preserve">Commodore PET</t>
  </si>
  <si>
    <t xml:space="preserve">1977</t>
  </si>
  <si>
    <t xml:space="preserve">None / CRTC 6545</t>
  </si>
  <si>
    <t xml:space="preserve">None (beeper)</t>
  </si>
  <si>
    <t xml:space="preserve">6520 PIA, 6522 VIA</t>
  </si>
  <si>
    <t xml:space="preserve">4-96K</t>
  </si>
  <si>
    <t xml:space="preserve">Multiple board revisions; CRTC in later models</t>
  </si>
  <si>
    <t xml:space="preserve">Apple II / II+</t>
  </si>
  <si>
    <t xml:space="preserve">1.023 MHz</t>
  </si>
  <si>
    <t xml:space="preserve">Custom (discrete)</t>
  </si>
  <si>
    <t xml:space="preserve">Disk II controller</t>
  </si>
  <si>
    <t xml:space="preserve">4-64K</t>
  </si>
  <si>
    <t xml:space="preserve">NTSC artifact colour; non-linear VRAM layout</t>
  </si>
  <si>
    <t xml:space="preserve">TRS-80 Model I</t>
  </si>
  <si>
    <t xml:space="preserve">Z80</t>
  </si>
  <si>
    <t xml:space="preserve">1.774 MHz</t>
  </si>
  <si>
    <t xml:space="preserve">-</t>
  </si>
  <si>
    <t xml:space="preserve">4-48K</t>
  </si>
  <si>
    <t xml:space="preserve">Character-mapped display; Level I/II BASIC</t>
  </si>
  <si>
    <t xml:space="preserve">Atari 400/800</t>
  </si>
  <si>
    <t xml:space="preserve">1979</t>
  </si>
  <si>
    <t xml:space="preserve">1.79 MHz</t>
  </si>
  <si>
    <t xml:space="preserve">ANTIC + GTIA</t>
  </si>
  <si>
    <t xml:space="preserve">POKEY</t>
  </si>
  <si>
    <t xml:space="preserve">8-48K</t>
  </si>
  <si>
    <t xml:space="preserve">ANTIC display list processor; POKEY also handles I/O</t>
  </si>
  <si>
    <t xml:space="preserve">EARLY CONSOLES</t>
  </si>
  <si>
    <t xml:space="preserve">Atari 2600</t>
  </si>
  <si>
    <t xml:space="preserve">Console</t>
  </si>
  <si>
    <t xml:space="preserve">6507 (6502)</t>
  </si>
  <si>
    <t xml:space="preserve">1.19 MHz</t>
  </si>
  <si>
    <t xml:space="preserve">TIA</t>
  </si>
  <si>
    <t xml:space="preserve">128 bytes</t>
  </si>
  <si>
    <t xml:space="preserve">WIP</t>
  </si>
  <si>
    <t xml:space="preserve">No framebuffer; CPU must race the beam</t>
  </si>
  <si>
    <t xml:space="preserve">Intellivision</t>
  </si>
  <si>
    <t xml:space="preserve">CP1610</t>
  </si>
  <si>
    <t xml:space="preserve">894 kHz</t>
  </si>
  <si>
    <t xml:space="preserve">STIC</t>
  </si>
  <si>
    <t xml:space="preserve">AY-3-8914</t>
  </si>
  <si>
    <t xml:space="preserve">1.5K</t>
  </si>
  <si>
    <t xml:space="preserve">Unique CPU; limited reuse potential</t>
  </si>
  <si>
    <t xml:space="preserve">ColecoVision</t>
  </si>
  <si>
    <t xml:space="preserve">1982</t>
  </si>
  <si>
    <t xml:space="preserve">3.58 MHz</t>
  </si>
  <si>
    <t xml:space="preserve">TMS9928A</t>
  </si>
  <si>
    <t xml:space="preserve">SN76489A</t>
  </si>
  <si>
    <t xml:space="preserve">1K + 16K VRAM</t>
  </si>
  <si>
    <t xml:space="preserve">TMS9918 family VDP</t>
  </si>
  <si>
    <t xml:space="preserve">Atari 5200</t>
  </si>
  <si>
    <t xml:space="preserve">6502C</t>
  </si>
  <si>
    <t xml:space="preserve">16K</t>
  </si>
  <si>
    <t xml:space="preserve">Same chipset as Atari 800</t>
  </si>
  <si>
    <t xml:space="preserve">Vectrex</t>
  </si>
  <si>
    <t xml:space="preserve">6809</t>
  </si>
  <si>
    <t xml:space="preserve">1.5 MHz</t>
  </si>
  <si>
    <t xml:space="preserve">None (vector)</t>
  </si>
  <si>
    <t xml:space="preserve">AY-3-8912</t>
  </si>
  <si>
    <t xml:space="preserve">6522 VIA</t>
  </si>
  <si>
    <t xml:space="preserve">1K</t>
  </si>
  <si>
    <t xml:space="preserve">Vector display; unique rendering</t>
  </si>
  <si>
    <t xml:space="preserve">Atari 7800</t>
  </si>
  <si>
    <t xml:space="preserve">1986</t>
  </si>
  <si>
    <t xml:space="preserve">MARIA</t>
  </si>
  <si>
    <t xml:space="preserve">TIA + POKEY(opt)</t>
  </si>
  <si>
    <t xml:space="preserve">4K</t>
  </si>
  <si>
    <t xml:space="preserve">MARIA sprite-based; backward compatible with 2600</t>
  </si>
  <si>
    <t xml:space="preserve">8-BIT HOME COMPUTERS (1980-1984)</t>
  </si>
  <si>
    <t xml:space="preserve">Sinclair ZX80</t>
  </si>
  <si>
    <t xml:space="preserve">UK</t>
  </si>
  <si>
    <t xml:space="preserve">1980</t>
  </si>
  <si>
    <t xml:space="preserve">3.25 MHz</t>
  </si>
  <si>
    <t xml:space="preserve">None (CPU-driven)</t>
  </si>
  <si>
    <t xml:space="preserve">CPU IS the video generator</t>
  </si>
  <si>
    <t xml:space="preserve">Sinclair ZX81</t>
  </si>
  <si>
    <t xml:space="preserve">1981</t>
  </si>
  <si>
    <t xml:space="preserve">ULA</t>
  </si>
  <si>
    <t xml:space="preserve">NMI-driven display; SLOW/FAST modes</t>
  </si>
  <si>
    <t xml:space="preserve">Jupiter Ace</t>
  </si>
  <si>
    <t xml:space="preserve">3K</t>
  </si>
  <si>
    <t xml:space="preserve">FORTH in ROM; ex-Sinclair designers</t>
  </si>
  <si>
    <t xml:space="preserve">BBC Micro</t>
  </si>
  <si>
    <t xml:space="preserve">2 MHz</t>
  </si>
  <si>
    <t xml:space="preserve">CRTC 6845 + SAA5050</t>
  </si>
  <si>
    <t xml:space="preserve">SN76489 (76489AN)</t>
  </si>
  <si>
    <t xml:space="preserve">6522 VIA ×2</t>
  </si>
  <si>
    <t xml:space="preserve">16-32K</t>
  </si>
  <si>
    <t xml:space="preserve">Teletext mode; versatile video; Tube interface</t>
  </si>
  <si>
    <t xml:space="preserve">ZX Spectrum</t>
  </si>
  <si>
    <t xml:space="preserve">3.5 MHz</t>
  </si>
  <si>
    <t xml:space="preserve">16-128K</t>
  </si>
  <si>
    <t xml:space="preserve">Contended memory; attribute clash</t>
  </si>
  <si>
    <t xml:space="preserve">Commodore 64</t>
  </si>
  <si>
    <t xml:space="preserve">UK/US</t>
  </si>
  <si>
    <t xml:space="preserve">6510 (6502)</t>
  </si>
  <si>
    <t xml:space="preserve">~1 MHz</t>
  </si>
  <si>
    <t xml:space="preserve">VIC-II</t>
  </si>
  <si>
    <t xml:space="preserve">SID 6581/8580</t>
  </si>
  <si>
    <t xml:space="preserve">CIA ×2</t>
  </si>
  <si>
    <t xml:space="preserve">64K</t>
  </si>
  <si>
    <t xml:space="preserve">1541 drive has its own 6502</t>
  </si>
  <si>
    <t xml:space="preserve">Commodore VIC-20</t>
  </si>
  <si>
    <t xml:space="preserve">US/UK</t>
  </si>
  <si>
    <t xml:space="preserve">VIC 6560/6561</t>
  </si>
  <si>
    <t xml:space="preserve">5K</t>
  </si>
  <si>
    <t xml:space="preserve">VIC handles both video and sound</t>
  </si>
  <si>
    <t xml:space="preserve">Commodore Plus/4 &amp; C16</t>
  </si>
  <si>
    <t xml:space="preserve">1984</t>
  </si>
  <si>
    <t xml:space="preserve">7501/8501</t>
  </si>
  <si>
    <t xml:space="preserve">~1.76 MHz</t>
  </si>
  <si>
    <t xml:space="preserve">TED 7360/8360</t>
  </si>
  <si>
    <t xml:space="preserve">16-64K</t>
  </si>
  <si>
    <t xml:space="preserve">TED handles video, sound, and I/O</t>
  </si>
  <si>
    <t xml:space="preserve">Dragon 32/64</t>
  </si>
  <si>
    <t xml:space="preserve">6809E</t>
  </si>
  <si>
    <t xml:space="preserve">0.89 MHz</t>
  </si>
  <si>
    <t xml:space="preserve">MC6847</t>
  </si>
  <si>
    <t xml:space="preserve">None (DAC)</t>
  </si>
  <si>
    <t xml:space="preserve">6821 PIA ×2, SAM</t>
  </si>
  <si>
    <t xml:space="preserve">32-64K</t>
  </si>
  <si>
    <t xml:space="preserve">Near-identical to TRS-80 CoCo</t>
  </si>
  <si>
    <t xml:space="preserve">Tandy CoCo 1/2/3</t>
  </si>
  <si>
    <t xml:space="preserve">MC6847 / GIME</t>
  </si>
  <si>
    <t xml:space="preserve">None (DAC) / GIME</t>
  </si>
  <si>
    <t xml:space="preserve">6821 PIA, SAM</t>
  </si>
  <si>
    <t xml:space="preserve">4-512K</t>
  </si>
  <si>
    <t xml:space="preserve">CoCo 3 GIME chip is very different</t>
  </si>
  <si>
    <t xml:space="preserve">Oric-1 / Atmos</t>
  </si>
  <si>
    <t xml:space="preserve">UK/FR</t>
  </si>
  <si>
    <t xml:space="preserve">1983</t>
  </si>
  <si>
    <t xml:space="preserve">16-48K</t>
  </si>
  <si>
    <t xml:space="preserve">Popular in France</t>
  </si>
  <si>
    <t xml:space="preserve">Amstrad CPC 464/6128</t>
  </si>
  <si>
    <t xml:space="preserve">Z80A</t>
  </si>
  <si>
    <t xml:space="preserve">4 MHz</t>
  </si>
  <si>
    <t xml:space="preserve">CRTC 6845 + Gate Array</t>
  </si>
  <si>
    <t xml:space="preserve">64-128K</t>
  </si>
  <si>
    <t xml:space="preserve">Gate Array handles video timing/palette</t>
  </si>
  <si>
    <t xml:space="preserve">MSX</t>
  </si>
  <si>
    <t xml:space="preserve">JP/EU</t>
  </si>
  <si>
    <t xml:space="preserve">TMS9918/9928</t>
  </si>
  <si>
    <t xml:space="preserve">AY-3-8910</t>
  </si>
  <si>
    <t xml:space="preserve">8255 PPI</t>
  </si>
  <si>
    <t xml:space="preserve">8-64K</t>
  </si>
  <si>
    <t xml:space="preserve">Standard; many manufacturers</t>
  </si>
  <si>
    <t xml:space="preserve">MSX2 / MSX2+</t>
  </si>
  <si>
    <t xml:space="preserve">1985</t>
  </si>
  <si>
    <t xml:space="preserve">Yamaha V9938/V9958</t>
  </si>
  <si>
    <t xml:space="preserve">AY-3-8910 / YM2149</t>
  </si>
  <si>
    <t xml:space="preserve">64-512K</t>
  </si>
  <si>
    <t xml:space="preserve">Enhanced video; hardware scroll/sprites</t>
  </si>
  <si>
    <t xml:space="preserve">Acorn Electron</t>
  </si>
  <si>
    <t xml:space="preserve">1/2 MHz</t>
  </si>
  <si>
    <t xml:space="preserve">ULA (1-bit)</t>
  </si>
  <si>
    <t xml:space="preserve">32K</t>
  </si>
  <si>
    <t xml:space="preserve">Cut-down BBC Micro</t>
  </si>
  <si>
    <t xml:space="preserve">Acorn Atom</t>
  </si>
  <si>
    <t xml:space="preserve">6522 VIA, 6847</t>
  </si>
  <si>
    <t xml:space="preserve">2-12K</t>
  </si>
  <si>
    <t xml:space="preserve">Acorn's first micro</t>
  </si>
  <si>
    <t xml:space="preserve">Memotech MTX</t>
  </si>
  <si>
    <t xml:space="preserve">TMS9929A</t>
  </si>
  <si>
    <t xml:space="preserve">CTC</t>
  </si>
  <si>
    <t xml:space="preserve">32-512K</t>
  </si>
  <si>
    <t xml:space="preserve">TMS9918 family</t>
  </si>
  <si>
    <t xml:space="preserve">Tatung Einstein</t>
  </si>
  <si>
    <t xml:space="preserve">TMS9129</t>
  </si>
  <si>
    <t xml:space="preserve">WD1770, CTC, PIO, SIO</t>
  </si>
  <si>
    <t xml:space="preserve">64K + 16K VRAM</t>
  </si>
  <si>
    <t xml:space="preserve">MSX-adjacent but incompatible</t>
  </si>
  <si>
    <t xml:space="preserve">Enterprise 64/128</t>
  </si>
  <si>
    <t xml:space="preserve">Nick (ASIC)</t>
  </si>
  <si>
    <t xml:space="preserve">Dave (ASIC)</t>
  </si>
  <si>
    <t xml:space="preserve">Dave handles paging/IO</t>
  </si>
  <si>
    <t xml:space="preserve">Display list architecture; cult in Hungary</t>
  </si>
  <si>
    <t xml:space="preserve">SAM Coupé</t>
  </si>
  <si>
    <t xml:space="preserve">1989</t>
  </si>
  <si>
    <t xml:space="preserve">Z80B</t>
  </si>
  <si>
    <t xml:space="preserve">6 MHz</t>
  </si>
  <si>
    <t xml:space="preserve">ASIC</t>
  </si>
  <si>
    <t xml:space="preserve">SAA1099</t>
  </si>
  <si>
    <t xml:space="preserve">256-512K</t>
  </si>
  <si>
    <t xml:space="preserve">Spectrum successor; late 8-bit</t>
  </si>
  <si>
    <t xml:space="preserve">Camputers Lynx</t>
  </si>
  <si>
    <t xml:space="preserve">Custom</t>
  </si>
  <si>
    <t xml:space="preserve">48-192K</t>
  </si>
  <si>
    <t xml:space="preserve">Unusual; very rare</t>
  </si>
  <si>
    <t xml:space="preserve">Spectravideo SV-318/328</t>
  </si>
  <si>
    <t xml:space="preserve">US/JP</t>
  </si>
  <si>
    <t xml:space="preserve">TMS9918A</t>
  </si>
  <si>
    <t xml:space="preserve">MSX precursor</t>
  </si>
  <si>
    <t xml:space="preserve">Sord M5</t>
  </si>
  <si>
    <t xml:space="preserve">JP</t>
  </si>
  <si>
    <t xml:space="preserve">SN76489AN</t>
  </si>
  <si>
    <t xml:space="preserve">4K + 16K VRAM</t>
  </si>
  <si>
    <t xml:space="preserve">Sharp MZ-700/800</t>
  </si>
  <si>
    <t xml:space="preserve">Custom gate array</t>
  </si>
  <si>
    <t xml:space="preserve">Custom (1-bit)</t>
  </si>
  <si>
    <t xml:space="preserve">8253 PIT</t>
  </si>
  <si>
    <t xml:space="preserve">Clean architecture; no ROM at boot</t>
  </si>
  <si>
    <t xml:space="preserve">Sharp X1</t>
  </si>
  <si>
    <t xml:space="preserve">AY-3-8910 / PSG</t>
  </si>
  <si>
    <t xml:space="preserve">CTC, DMA</t>
  </si>
  <si>
    <t xml:space="preserve">TV tuner built in</t>
  </si>
  <si>
    <t xml:space="preserve">Fujitsu FM-7/FM-77</t>
  </si>
  <si>
    <t xml:space="preserve">6809 ×2</t>
  </si>
  <si>
    <t xml:space="preserve">~1.8 MHz</t>
  </si>
  <si>
    <t xml:space="preserve">6809 sub-CPU for I/O</t>
  </si>
  <si>
    <t xml:space="preserve">Dual 6809; sub-CPU handles keyboard/display</t>
  </si>
  <si>
    <t xml:space="preserve">NEC PC-8801</t>
  </si>
  <si>
    <t xml:space="preserve">µPD3301 / Custom</t>
  </si>
  <si>
    <t xml:space="preserve">YM2203 (later)</t>
  </si>
  <si>
    <t xml:space="preserve">Dominant Japanese platform</t>
  </si>
  <si>
    <t xml:space="preserve">Philips VG-5000</t>
  </si>
  <si>
    <t xml:space="preserve">FR</t>
  </si>
  <si>
    <t xml:space="preserve">EF9345</t>
  </si>
  <si>
    <t xml:space="preserve">18K</t>
  </si>
  <si>
    <t xml:space="preserve">French market; unusual video chip</t>
  </si>
  <si>
    <t xml:space="preserve">Thomson MO5/TO7</t>
  </si>
  <si>
    <t xml:space="preserve">EF9340/9341</t>
  </si>
  <si>
    <t xml:space="preserve">6821 PIA</t>
  </si>
  <si>
    <t xml:space="preserve">48K</t>
  </si>
  <si>
    <t xml:space="preserve">French educational standard</t>
  </si>
  <si>
    <t xml:space="preserve">Sinclair QL</t>
  </si>
  <si>
    <t xml:space="preserve">68008</t>
  </si>
  <si>
    <t xml:space="preserve">7.5 MHz</t>
  </si>
  <si>
    <t xml:space="preserve">Custom ULA</t>
  </si>
  <si>
    <t xml:space="preserve">8049 IPC</t>
  </si>
  <si>
    <t xml:space="preserve">128K</t>
  </si>
  <si>
    <t xml:space="preserve">68000 family; Microdrives; QDOS</t>
  </si>
  <si>
    <t xml:space="preserve">8-BIT / 16-BIT CONSOLES (1983-1992)</t>
  </si>
  <si>
    <t xml:space="preserve">NES / Famicom</t>
  </si>
  <si>
    <t xml:space="preserve">JP/US</t>
  </si>
  <si>
    <t xml:space="preserve">Ricoh 2A03 (6502)</t>
  </si>
  <si>
    <t xml:space="preserve">Ricoh 2C02 (PPU)</t>
  </si>
  <si>
    <t xml:space="preserve">2A03 (internal)</t>
  </si>
  <si>
    <t xml:space="preserve">2K + 2K VRAM</t>
  </si>
  <si>
    <t xml:space="preserve">PPU timing is the main challenge</t>
  </si>
  <si>
    <t xml:space="preserve">Sega SG-1000 / SC-3000</t>
  </si>
  <si>
    <t xml:space="preserve">SN76489</t>
  </si>
  <si>
    <t xml:space="preserve">1-2K + 16K VRAM</t>
  </si>
  <si>
    <t xml:space="preserve">TMS9918 family; Sega's first console</t>
  </si>
  <si>
    <t xml:space="preserve">Sega Master System</t>
  </si>
  <si>
    <t xml:space="preserve">VDP (TMS9918 derivative)</t>
  </si>
  <si>
    <t xml:space="preserve">SN76489 + YM2413(JP)</t>
  </si>
  <si>
    <t xml:space="preserve">8K + 16K VRAM</t>
  </si>
  <si>
    <t xml:space="preserve">Enhanced TMS9918; simple</t>
  </si>
  <si>
    <t xml:space="preserve">Sega Game Gear</t>
  </si>
  <si>
    <t xml:space="preserve">1990</t>
  </si>
  <si>
    <t xml:space="preserve">Handheld</t>
  </si>
  <si>
    <t xml:space="preserve">VDP (SMS derivative)</t>
  </si>
  <si>
    <t xml:space="preserve">Portable Master System with more colours</t>
  </si>
  <si>
    <t xml:space="preserve">Game Boy</t>
  </si>
  <si>
    <t xml:space="preserve">Sharp LR35902</t>
  </si>
  <si>
    <t xml:space="preserve">4.19 MHz</t>
  </si>
  <si>
    <t xml:space="preserve">LR35902 (internal PPU)</t>
  </si>
  <si>
    <t xml:space="preserve">LR35902 (internal)</t>
  </si>
  <si>
    <t xml:space="preserve">8K + 8K VRAM</t>
  </si>
  <si>
    <t xml:space="preserve">Z80 derivative; unique instruction set</t>
  </si>
  <si>
    <t xml:space="preserve">Game Boy Color</t>
  </si>
  <si>
    <t xml:space="preserve">1998</t>
  </si>
  <si>
    <t xml:space="preserve">Sharp CGB CPU</t>
  </si>
  <si>
    <t xml:space="preserve">8.39 MHz</t>
  </si>
  <si>
    <t xml:space="preserve">CGB (internal PPU)</t>
  </si>
  <si>
    <t xml:space="preserve">CGB (internal)</t>
  </si>
  <si>
    <t xml:space="preserve">32K + 16K VRAM</t>
  </si>
  <si>
    <t xml:space="preserve">Enhanced Game Boy</t>
  </si>
  <si>
    <t xml:space="preserve">Mega Drive / Genesis</t>
  </si>
  <si>
    <t xml:space="preserve">1988</t>
  </si>
  <si>
    <t xml:space="preserve">68000 + Z80</t>
  </si>
  <si>
    <t xml:space="preserve">7.67 + 3.58 MHz</t>
  </si>
  <si>
    <t xml:space="preserve">VDP (custom)</t>
  </si>
  <si>
    <t xml:space="preserve">YM2612 + SN76489</t>
  </si>
  <si>
    <t xml:space="preserve">64K + 8K + 64K VRAM</t>
  </si>
  <si>
    <t xml:space="preserve">Dual CPU; bus arbitration</t>
  </si>
  <si>
    <t xml:space="preserve">SNES / Super Famicom</t>
  </si>
  <si>
    <t xml:space="preserve">65C816</t>
  </si>
  <si>
    <t xml:space="preserve">PPU (2 chips)</t>
  </si>
  <si>
    <t xml:space="preserve">SPC700 + DSP</t>
  </si>
  <si>
    <t xml:space="preserve">Various coprocessors</t>
  </si>
  <si>
    <t xml:space="preserve">128K + 64K VRAM</t>
  </si>
  <si>
    <t xml:space="preserve">65C816 is extended 6502; SPC700 is separate computer</t>
  </si>
  <si>
    <t xml:space="preserve">Atari Lynx</t>
  </si>
  <si>
    <t xml:space="preserve">65C02</t>
  </si>
  <si>
    <t xml:space="preserve">Suzy (custom)</t>
  </si>
  <si>
    <t xml:space="preserve">Mikey (custom)</t>
  </si>
  <si>
    <t xml:space="preserve">Hardware scaling/rotation; colour handheld</t>
  </si>
  <si>
    <t xml:space="preserve">TurboGrafx-16 / PC Engine</t>
  </si>
  <si>
    <t xml:space="preserve">1987</t>
  </si>
  <si>
    <t xml:space="preserve">HuC6280 (65C02)</t>
  </si>
  <si>
    <t xml:space="preserve">7.16 MHz</t>
  </si>
  <si>
    <t xml:space="preserve">HuC6270 VDC + HuC6260 VCE</t>
  </si>
  <si>
    <t xml:space="preserve">HuC6280 (internal PSG)</t>
  </si>
  <si>
    <t xml:space="preserve">8K + 64K VRAM</t>
  </si>
  <si>
    <t xml:space="preserve">Modified 6502; impressive sprite hardware</t>
  </si>
  <si>
    <t xml:space="preserve">Neo Geo AES / MVS</t>
  </si>
  <si>
    <t xml:space="preserve">68000</t>
  </si>
  <si>
    <t xml:space="preserve">12 MHz</t>
  </si>
  <si>
    <t xml:space="preserve">LSPC2 + NEO-B1</t>
  </si>
  <si>
    <t xml:space="preserve">YM2610</t>
  </si>
  <si>
    <t xml:space="preserve">Z80 (audio)</t>
  </si>
  <si>
    <t xml:space="preserve">64K + 68K VRAM</t>
  </si>
  <si>
    <t xml:space="preserve">Arcade hardware at home</t>
  </si>
  <si>
    <t xml:space="preserve">Sega Mega CD</t>
  </si>
  <si>
    <t xml:space="preserve">1991</t>
  </si>
  <si>
    <t xml:space="preserve">Console addon</t>
  </si>
  <si>
    <t xml:space="preserve">68000 (2nd)</t>
  </si>
  <si>
    <t xml:space="preserve">12.5 MHz</t>
  </si>
  <si>
    <t xml:space="preserve">ASIC (scaling/rotation)</t>
  </si>
  <si>
    <t xml:space="preserve">Ricoh RF5C164 (PCM)</t>
  </si>
  <si>
    <t xml:space="preserve">768K</t>
  </si>
  <si>
    <t xml:space="preserve">Second 68000; CD audio; FMV</t>
  </si>
  <si>
    <t xml:space="preserve">Sega 32X</t>
  </si>
  <si>
    <t xml:space="preserve">1994</t>
  </si>
  <si>
    <t xml:space="preserve">SH2 ×2</t>
  </si>
  <si>
    <t xml:space="preserve">23 MHz</t>
  </si>
  <si>
    <t xml:space="preserve">Custom VDP</t>
  </si>
  <si>
    <t xml:space="preserve">PWM</t>
  </si>
  <si>
    <t xml:space="preserve">256K + 256K VRAM</t>
  </si>
  <si>
    <t xml:space="preserve">Dual SH2; overlays Mega Drive output</t>
  </si>
  <si>
    <t xml:space="preserve">PC Engine SuperGrafx</t>
  </si>
  <si>
    <t xml:space="preserve">HuC6280</t>
  </si>
  <si>
    <t xml:space="preserve">HuC6270 VDC ×2</t>
  </si>
  <si>
    <t xml:space="preserve">HuC6280 PSG</t>
  </si>
  <si>
    <t xml:space="preserve">HuC6202 VPC</t>
  </si>
  <si>
    <t xml:space="preserve">32K + 128K VRAM</t>
  </si>
  <si>
    <t xml:space="preserve">Dual VDC; only 6 dedicated games</t>
  </si>
  <si>
    <t xml:space="preserve">16-BIT COMPUTERS</t>
  </si>
  <si>
    <t xml:space="preserve">Commodore Amiga 500/1000/2000</t>
  </si>
  <si>
    <t xml:space="preserve">7.09 MHz</t>
  </si>
  <si>
    <t xml:space="preserve">Agnus + Denise (OCS)</t>
  </si>
  <si>
    <t xml:space="preserve">Paula</t>
  </si>
  <si>
    <t xml:space="preserve">CIAs ×2</t>
  </si>
  <si>
    <t xml:space="preserve">256K-1M Chip</t>
  </si>
  <si>
    <t xml:space="preserve">Three custom chips; DMA bus arbitration</t>
  </si>
  <si>
    <t xml:space="preserve">Commodore Amiga 1200/4000</t>
  </si>
  <si>
    <t xml:space="preserve">1992</t>
  </si>
  <si>
    <t xml:space="preserve">68EC020/68040</t>
  </si>
  <si>
    <t xml:space="preserve">14-25 MHz</t>
  </si>
  <si>
    <t xml:space="preserve">Alice + Lisa (AGA)</t>
  </si>
  <si>
    <t xml:space="preserve">CIAs, Gayle/Budgie</t>
  </si>
  <si>
    <t xml:space="preserve">2M Chip</t>
  </si>
  <si>
    <t xml:space="preserve">AGA enhanced chipset</t>
  </si>
  <si>
    <t xml:space="preserve">Commodore Amiga CD32</t>
  </si>
  <si>
    <t xml:space="preserve">1993</t>
  </si>
  <si>
    <t xml:space="preserve">68EC020</t>
  </si>
  <si>
    <t xml:space="preserve">14 MHz</t>
  </si>
  <si>
    <t xml:space="preserve">Akiko</t>
  </si>
  <si>
    <t xml:space="preserve">2M</t>
  </si>
  <si>
    <t xml:space="preserve">AGA + Akiko chunky-to-planar</t>
  </si>
  <si>
    <t xml:space="preserve">Atari ST / STe</t>
  </si>
  <si>
    <t xml:space="preserve">8 MHz</t>
  </si>
  <si>
    <t xml:space="preserve">Shifter + GLUE + MMU</t>
  </si>
  <si>
    <t xml:space="preserve">YM2149</t>
  </si>
  <si>
    <t xml:space="preserve">ACIA, MFP 68901</t>
  </si>
  <si>
    <t xml:space="preserve">512K-4M</t>
  </si>
  <si>
    <t xml:space="preserve">Simpler than Amiga; STe adds DMA sound + blitter</t>
  </si>
  <si>
    <t xml:space="preserve">Atari TT</t>
  </si>
  <si>
    <t xml:space="preserve">68030</t>
  </si>
  <si>
    <t xml:space="preserve">32 MHz</t>
  </si>
  <si>
    <t xml:space="preserve">Enhanced Shifter</t>
  </si>
  <si>
    <t xml:space="preserve">FPU, DMA</t>
  </si>
  <si>
    <t xml:space="preserve">2-26M</t>
  </si>
  <si>
    <t xml:space="preserve">High-end Atari</t>
  </si>
  <si>
    <t xml:space="preserve">Atari Falcon030</t>
  </si>
  <si>
    <t xml:space="preserve">16 MHz</t>
  </si>
  <si>
    <t xml:space="preserve">VIDEL</t>
  </si>
  <si>
    <t xml:space="preserve">Motorola 56001 DSP</t>
  </si>
  <si>
    <t xml:space="preserve">Blitter, CODEC</t>
  </si>
  <si>
    <t xml:space="preserve">1-14M</t>
  </si>
  <si>
    <t xml:space="preserve">DSP for audio; true colour</t>
  </si>
  <si>
    <t xml:space="preserve">Sharp X68000</t>
  </si>
  <si>
    <t xml:space="preserve">10 MHz</t>
  </si>
  <si>
    <t xml:space="preserve">Custom CRTC + sprite</t>
  </si>
  <si>
    <t xml:space="preserve">YM2151 + OKI MSM6258</t>
  </si>
  <si>
    <t xml:space="preserve">1-12M</t>
  </si>
  <si>
    <t xml:space="preserve">Arcade-quality; huge in Japan</t>
  </si>
  <si>
    <t xml:space="preserve">NEC PC-9801</t>
  </si>
  <si>
    <t xml:space="preserve">8086→286→386</t>
  </si>
  <si>
    <t xml:space="preserve">5-33 MHz</t>
  </si>
  <si>
    <t xml:space="preserve">µPD7220 GDC ×2</t>
  </si>
  <si>
    <t xml:space="preserve">YM2203/2608 (Beep)</t>
  </si>
  <si>
    <t xml:space="preserve">128K-16M</t>
  </si>
  <si>
    <t xml:space="preserve">Dominant Japanese business/gaming PC; x86 family</t>
  </si>
  <si>
    <t xml:space="preserve">Fujitsu FM Towns</t>
  </si>
  <si>
    <t xml:space="preserve">386SX/DX</t>
  </si>
  <si>
    <t xml:space="preserve">16-66 MHz</t>
  </si>
  <si>
    <t xml:space="preserve">Custom sprite + CRTC</t>
  </si>
  <si>
    <t xml:space="preserve">Ricoh RF5C68 + CD-DA</t>
  </si>
  <si>
    <t xml:space="preserve">1-8M</t>
  </si>
  <si>
    <t xml:space="preserve">CD-ROM built in; x86 with custom chips</t>
  </si>
  <si>
    <t xml:space="preserve">x86 PLATFORMS (HERE BE DRAGONS)</t>
  </si>
  <si>
    <t xml:space="preserve">8086→80286→80386</t>
  </si>
  <si>
    <t xml:space="preserve">YM2203/YM2608 (Beep)</t>
  </si>
  <si>
    <t xml:space="preserve">Dominant Japanese platform; fixed architecture; massive game library. THE x86 target worth doing.</t>
  </si>
  <si>
    <t xml:space="preserve">80386SX/DX</t>
  </si>
  <si>
    <t xml:space="preserve">x86 with custom chips and CD-ROM. Fixed hardware like a console. FM Towns Marty is the console variant.</t>
  </si>
  <si>
    <t xml:space="preserve">Tandy 1000</t>
  </si>
  <si>
    <t xml:space="preserve">8088</t>
  </si>
  <si>
    <t xml:space="preserve">4.77 MHz</t>
  </si>
  <si>
    <t xml:space="preserve">Tandy VGA (PCjr compat)</t>
  </si>
  <si>
    <t xml:space="preserve">TI SN76496 / PSSJ</t>
  </si>
  <si>
    <t xml:space="preserve">128K-640K</t>
  </si>
  <si>
    <t xml:space="preserve">Enhanced PCjr compatible; Tandy graphics/sound are a known fixed target. Many DOS games supported it.</t>
  </si>
  <si>
    <t xml:space="preserve">IBM PC (fixed config)</t>
  </si>
  <si>
    <t xml:space="preserve">8088→80486</t>
  </si>
  <si>
    <t xml:space="preserve">4.77-66 MHz</t>
  </si>
  <si>
    <t xml:space="preserve">CGA/EGA/VGA</t>
  </si>
  <si>
    <t xml:space="preserve">AdLib/SB/MT-32</t>
  </si>
  <si>
    <t xml:space="preserve">8259 PIC, 8237 DMA, 8253 PIT, 8042 KBC</t>
  </si>
  <si>
    <t xml:space="preserve">64K-16M</t>
  </si>
  <si>
    <t xml:space="preserve">THE RABBIT HOLE. Open architecture = infinite configurations. Scope as fixed snapshots: CGA/1981, EGA/1985, VGA+SB/1990. Each is effectively a different machine.</t>
  </si>
  <si>
    <t xml:space="preserve">Sharp X1 Turbo</t>
  </si>
  <si>
    <t xml:space="preserve">AY-3-8910 / YM2151</t>
  </si>
  <si>
    <t xml:space="preserve">Z80 not x86, but included here as it bridges into the Sharp X68000/FM Towns era. TV tuner built in.</t>
  </si>
  <si>
    <t xml:space="preserve">FM Towns Marty</t>
  </si>
  <si>
    <t xml:space="preserve">80386SX</t>
  </si>
  <si>
    <t xml:space="preserve">Console version of FM Towns. Fixed config = more tractable than PC.</t>
  </si>
  <si>
    <t xml:space="preserve">HANDHELDS &amp; ODDITIES</t>
  </si>
  <si>
    <t xml:space="preserve">Game Boy Advance</t>
  </si>
  <si>
    <t xml:space="preserve">2001</t>
  </si>
  <si>
    <t xml:space="preserve">ARM7TDMI</t>
  </si>
  <si>
    <t xml:space="preserve">16.78 MHz</t>
  </si>
  <si>
    <t xml:space="preserve">Custom PPU</t>
  </si>
  <si>
    <t xml:space="preserve">Custom (DMA sound)</t>
  </si>
  <si>
    <t xml:space="preserve">Z80 (GBC compat)</t>
  </si>
  <si>
    <t xml:space="preserve">32K + 96K VRAM</t>
  </si>
  <si>
    <t xml:space="preserve">ARM core; 32-bit but 16-bit era successor</t>
  </si>
  <si>
    <t xml:space="preserve">Neo Geo Pocket / Color</t>
  </si>
  <si>
    <t xml:space="preserve">TLCS-900H</t>
  </si>
  <si>
    <t xml:space="preserve">6.144 MHz</t>
  </si>
  <si>
    <t xml:space="preserve">T6W28 (SN76489 variant) + DAC</t>
  </si>
  <si>
    <t xml:space="preserve">Z80 (sound)</t>
  </si>
  <si>
    <t xml:space="preserve">12K + 12K VRAM</t>
  </si>
  <si>
    <t xml:space="preserve">Toshiba CPU; rare</t>
  </si>
  <si>
    <t xml:space="preserve">WonderSwan / Color</t>
  </si>
  <si>
    <t xml:space="preserve">1999</t>
  </si>
  <si>
    <t xml:space="preserve">NEC V30MZ (x86)</t>
  </si>
  <si>
    <t xml:space="preserve">3.07 MHz</t>
  </si>
  <si>
    <t xml:space="preserve">Custom (PCM + wavetable)</t>
  </si>
  <si>
    <t xml:space="preserve">Gunpei Yokoi's last console; x86!</t>
  </si>
  <si>
    <t xml:space="preserve">Watara Supervision</t>
  </si>
  <si>
    <t xml:space="preserve">HK</t>
  </si>
  <si>
    <t xml:space="preserve">Custom LCD</t>
  </si>
  <si>
    <t xml:space="preserve">Custom (noise/tone)</t>
  </si>
  <si>
    <t xml:space="preserve">8K</t>
  </si>
  <si>
    <t xml:space="preserve">Cheap Game Boy competitor</t>
  </si>
  <si>
    <t xml:space="preserve">Epoch Game Pocket Computer</t>
  </si>
  <si>
    <t xml:space="preserve">NEC µPD7524</t>
  </si>
  <si>
    <t xml:space="preserve">2.5 MHz</t>
  </si>
  <si>
    <t xml:space="preserve">Custom LCD (75×64)</t>
  </si>
  <si>
    <t xml:space="preserve">Piezo buzzer</t>
  </si>
  <si>
    <t xml:space="preserve">2K</t>
  </si>
  <si>
    <t xml:space="preserve">Very early handheld; obscure CPU</t>
  </si>
  <si>
    <t xml:space="preserve">Gamate</t>
  </si>
  <si>
    <t xml:space="preserve">TW</t>
  </si>
  <si>
    <t xml:space="preserve">65C02 variant</t>
  </si>
  <si>
    <t xml:space="preserve">4.43 MHz</t>
  </si>
  <si>
    <t xml:space="preserve">Taiwanese Game Boy clone competitor</t>
  </si>
  <si>
    <t xml:space="preserve">TRS-80 Model III/4</t>
  </si>
  <si>
    <t xml:space="preserve">2.03 MHz</t>
  </si>
  <si>
    <t xml:space="preserve">Integrated CRT; CP/M capable</t>
  </si>
  <si>
    <t xml:space="preserve">Commodore 128</t>
  </si>
  <si>
    <t xml:space="preserve">8502 + Z80</t>
  </si>
  <si>
    <t xml:space="preserve">2 + 4 MHz</t>
  </si>
  <si>
    <t xml:space="preserve">VIC-IIe + VDC 8563</t>
  </si>
  <si>
    <t xml:space="preserve">SID</t>
  </si>
  <si>
    <t xml:space="preserve">CIA ×2, MMU</t>
  </si>
  <si>
    <t xml:space="preserve">Dual CPU; 80-col VDC; C64 compatible</t>
  </si>
  <si>
    <t xml:space="preserve">Tomy Tutor / Pyuuta</t>
  </si>
  <si>
    <t xml:space="preserve">TMS9995</t>
  </si>
  <si>
    <t xml:space="preserve">10.7 MHz</t>
  </si>
  <si>
    <t xml:space="preserve">TMS9918A (9929A)</t>
  </si>
  <si>
    <t xml:space="preserve">16K + 16K VRAM</t>
  </si>
  <si>
    <t xml:space="preserve">TI-99 derivative CPU + TMS video family</t>
  </si>
  <si>
    <t xml:space="preserve">Component</t>
  </si>
  <si>
    <t xml:space="preserve">Layer</t>
  </si>
  <si>
    <t xml:space="preserve">Crate Name</t>
  </si>
  <si>
    <t xml:space="preserve">Used By (Platforms)</t>
  </si>
  <si>
    <t xml:space="preserve">Complexity</t>
  </si>
  <si>
    <t xml:space="preserve">Status</t>
  </si>
  <si>
    <t xml:space="preserve">CPU CORES</t>
  </si>
  <si>
    <t xml:space="preserve">cpu-z80</t>
  </si>
  <si>
    <t xml:space="preserve">ZX80, ZX81, Spectrum, Jupiter Ace, CPC, MSX, MSX2, Einstein, Enterprise, SAM Coupé, Master System, Game Gear, SG-1000, Memotech, Lynx(Camp), ColecoVision, Sharp MZ/X1, NEC PC-88, Sord M5, Spectravideo, Mega Drive(audio), Neo Geo(audio), C128(alt)</t>
  </si>
  <si>
    <t xml:space="preserve">High</t>
  </si>
  <si>
    <t xml:space="preserve">DONE</t>
  </si>
  <si>
    <t xml:space="preserve">Most reused core; ~40-50% of all platforms</t>
  </si>
  <si>
    <t xml:space="preserve">6502 / 6510 / 7501</t>
  </si>
  <si>
    <t xml:space="preserve">cpu-6502</t>
  </si>
  <si>
    <t xml:space="preserve">Apple I, Apple II, PET, VIC-20, C64, Plus/4, NES, Atari 2600, Atari 5200, Atari 7800, Atari 800, BBC Micro, Electron, Atom, Oric</t>
  </si>
  <si>
    <t xml:space="preserve">Variants: 6502, 6507, 6510, 7501, 2A03; undocumented opcodes essential</t>
  </si>
  <si>
    <t xml:space="preserve">cpu-65c02</t>
  </si>
  <si>
    <t xml:space="preserve">TurboGrafx-16 (HuC6280), Atari Lynx, Watara Supervision, Gamate</t>
  </si>
  <si>
    <t xml:space="preserve">Medium</t>
  </si>
  <si>
    <t xml:space="preserve">Extended 6502; new addressing modes</t>
  </si>
  <si>
    <t xml:space="preserve">cpu-65c816</t>
  </si>
  <si>
    <t xml:space="preserve">SNES</t>
  </si>
  <si>
    <t xml:space="preserve">16-bit extension of 6502; native/emulation modes</t>
  </si>
  <si>
    <t xml:space="preserve">cpu-68000</t>
  </si>
  <si>
    <t xml:space="preserve">Amiga (OCS/ECS), Atari ST/STe, Mega Drive, Neo Geo, Mega CD (×2), Sharp X68000, Sinclair QL(68008)</t>
  </si>
  <si>
    <t xml:space="preserve">Second most reused core for 16-bit era</t>
  </si>
  <si>
    <t xml:space="preserve">68020/030/040</t>
  </si>
  <si>
    <t xml:space="preserve">cpu-68020</t>
  </si>
  <si>
    <t xml:space="preserve">Amiga 1200/4000, CD32, Atari TT, Falcon030</t>
  </si>
  <si>
    <t xml:space="preserve">Extended 68000; caches, MMU, FPU</t>
  </si>
  <si>
    <t xml:space="preserve">cpu-6809</t>
  </si>
  <si>
    <t xml:space="preserve">Dragon 32/64, Tandy CoCo 1/2, Vectrex, Fujitsu FM-7 (×2), Thomson MO5/TO7</t>
  </si>
  <si>
    <t xml:space="preserve">Clean architecture; position-independent code</t>
  </si>
  <si>
    <t xml:space="preserve">cpu-lr35902</t>
  </si>
  <si>
    <t xml:space="preserve">Game Boy, Game Boy Color</t>
  </si>
  <si>
    <t xml:space="preserve">Z80 derivative; no IX/IY; different bit ops</t>
  </si>
  <si>
    <t xml:space="preserve">SPC700</t>
  </si>
  <si>
    <t xml:space="preserve">sony-spc700</t>
  </si>
  <si>
    <t xml:space="preserve">SNES (audio)</t>
  </si>
  <si>
    <t xml:space="preserve">Sony CPU in the SNES APU</t>
  </si>
  <si>
    <t xml:space="preserve">cpu-arm7tdmi</t>
  </si>
  <si>
    <t xml:space="preserve">32-bit ARM; Thumb mode</t>
  </si>
  <si>
    <t xml:space="preserve">SH2</t>
  </si>
  <si>
    <t xml:space="preserve">cpu-sh2</t>
  </si>
  <si>
    <t xml:space="preserve">Sega 32X (×2)</t>
  </si>
  <si>
    <t xml:space="preserve">Hitachi SuperH; dual in 32X</t>
  </si>
  <si>
    <t xml:space="preserve">cpu-cp1610</t>
  </si>
  <si>
    <t xml:space="preserve">Low</t>
  </si>
  <si>
    <t xml:space="preserve">GI 16-bit; unique; limited reuse</t>
  </si>
  <si>
    <t xml:space="preserve">cpu-huc6280</t>
  </si>
  <si>
    <t xml:space="preserve">TurboGrafx-16, SuperGrafx</t>
  </si>
  <si>
    <t xml:space="preserve">Modified 65C02 with integrated PSG, timer, I/O</t>
  </si>
  <si>
    <t xml:space="preserve">cpu-tms9995</t>
  </si>
  <si>
    <t xml:space="preserve">Tomy Tutor</t>
  </si>
  <si>
    <t xml:space="preserve">TI-99 family</t>
  </si>
  <si>
    <t xml:space="preserve">cpu-tlcs900h</t>
  </si>
  <si>
    <t xml:space="preserve">Toshiba; Z80-influenced but 16-bit</t>
  </si>
  <si>
    <t xml:space="preserve">NEC V30MZ</t>
  </si>
  <si>
    <t xml:space="preserve">cpu-v30mz</t>
  </si>
  <si>
    <t xml:space="preserve">WonderSwan</t>
  </si>
  <si>
    <t xml:space="preserve">x86 compatible; low power</t>
  </si>
  <si>
    <t xml:space="preserve">Intel 8088/8086</t>
  </si>
  <si>
    <t xml:space="preserve">cpu-8086</t>
  </si>
  <si>
    <t xml:space="preserve">IBM PC/XT, NEC PC-9801 (early), Tandy 1000, various PC clones</t>
  </si>
  <si>
    <t xml:space="preserve">16-bit real mode; segmented memory. The 8088 is 8-bit bus variant. V20/V30 are NEC-enhanced clones.</t>
  </si>
  <si>
    <t xml:space="preserve">NEC V20/V30</t>
  </si>
  <si>
    <t xml:space="preserve">cpu-v20</t>
  </si>
  <si>
    <t xml:space="preserve">NEC PC-9801 (various), some PC clones, WonderSwan (V30MZ)</t>
  </si>
  <si>
    <t xml:space="preserve">8086-compatible with extra instructions + 8080 emulation mode. V30MZ (WonderSwan) is low-power derivative.</t>
  </si>
  <si>
    <t xml:space="preserve">Intel 80286</t>
  </si>
  <si>
    <t xml:space="preserve">cpu-80286</t>
  </si>
  <si>
    <t xml:space="preserve">IBM PC/AT, NEC PC-9801 (mid era), various</t>
  </si>
  <si>
    <t xml:space="preserve">Adds protected mode with privilege levels and segment descriptors. No paging.</t>
  </si>
  <si>
    <t xml:space="preserve">Intel 80386</t>
  </si>
  <si>
    <t xml:space="preserve">cpu-80386</t>
  </si>
  <si>
    <t xml:space="preserve">FM Towns, NEC PC-9801 (later), IBM PC compatibles</t>
  </si>
  <si>
    <t xml:space="preserve">Very High</t>
  </si>
  <si>
    <t xml:space="preserve">32-bit; paging; virtual 8086 mode. The FM Towns and late PC-98 are the interesting fixed-hardware targets.</t>
  </si>
  <si>
    <t xml:space="preserve">Intel 80486</t>
  </si>
  <si>
    <t xml:space="preserve">cpu-80486</t>
  </si>
  <si>
    <t xml:space="preserve">Late PC-9801, FM Towns Marty, PC compatibles</t>
  </si>
  <si>
    <t xml:space="preserve">Integrated FPU and cache. Probably the outer limit of what's sane to target.</t>
  </si>
  <si>
    <t xml:space="preserve">VIDEO CHIPS</t>
  </si>
  <si>
    <t xml:space="preserve">Video</t>
  </si>
  <si>
    <t xml:space="preserve">texas-tms9918</t>
  </si>
  <si>
    <t xml:space="preserve">ColecoVision, SG-1000, MSX, Einstein, Memotech, Sord M5, Spectravideo, Tomy Tutor</t>
  </si>
  <si>
    <t xml:space="preserve">Covers TMS9918A, 9928A, 9929A, 9129; ~10 platforms</t>
  </si>
  <si>
    <t xml:space="preserve">Yamaha V9938 / V9958</t>
  </si>
  <si>
    <t xml:space="preserve">yamaha-v9938</t>
  </si>
  <si>
    <t xml:space="preserve">MSX2, MSX2+</t>
  </si>
  <si>
    <t xml:space="preserve">Extended TMS9918; hardware scroll, more colours</t>
  </si>
  <si>
    <t xml:space="preserve">VIC-II (6567/6569/8562/8565)</t>
  </si>
  <si>
    <t xml:space="preserve">mos-6567</t>
  </si>
  <si>
    <t xml:space="preserve">Commodore 64, C128</t>
  </si>
  <si>
    <t xml:space="preserve">Badlines, sprites, border tricks</t>
  </si>
  <si>
    <t xml:space="preserve">VIC (6560/6561)</t>
  </si>
  <si>
    <t xml:space="preserve">mos-6560</t>
  </si>
  <si>
    <t xml:space="preserve">VIC-20</t>
  </si>
  <si>
    <t xml:space="preserve">Simpler VIC-II predecessor</t>
  </si>
  <si>
    <t xml:space="preserve">TED (7360/8360)</t>
  </si>
  <si>
    <t xml:space="preserve">mos-7360</t>
  </si>
  <si>
    <t xml:space="preserve">Plus/4, C16</t>
  </si>
  <si>
    <t xml:space="preserve">Integrated video+sound+I/O</t>
  </si>
  <si>
    <t xml:space="preserve">Ricoh 2C02 (NES PPU)</t>
  </si>
  <si>
    <t xml:space="preserve">ricoh-2c02</t>
  </si>
  <si>
    <t xml:space="preserve">Sprite 0, nametable mirroring, scroll splits</t>
  </si>
  <si>
    <t xml:space="preserve">SNES PPU (2 chips)</t>
  </si>
  <si>
    <t xml:space="preserve">nintendo-snes-ppu</t>
  </si>
  <si>
    <t xml:space="preserve">Mode 7, pseudo-hires, mid-scanline effects</t>
  </si>
  <si>
    <t xml:space="preserve">Mega Drive VDP</t>
  </si>
  <si>
    <t xml:space="preserve">sega-md-vdp</t>
  </si>
  <si>
    <t xml:space="preserve">Mega Drive, Mega CD (overlay)</t>
  </si>
  <si>
    <t xml:space="preserve">Evolved SMS VDP; FIFO timing critical</t>
  </si>
  <si>
    <t xml:space="preserve">SMS VDP</t>
  </si>
  <si>
    <t xml:space="preserve">sega-sms-vdp</t>
  </si>
  <si>
    <t xml:space="preserve">Master System, Game Gear</t>
  </si>
  <si>
    <t xml:space="preserve">TMS9918 derivative with enhancements</t>
  </si>
  <si>
    <t xml:space="preserve">ANTIC</t>
  </si>
  <si>
    <t xml:space="preserve">atari-antic</t>
  </si>
  <si>
    <t xml:space="preserve">Atari 400/800/XL/XE, Atari 5200</t>
  </si>
  <si>
    <t xml:space="preserve">Display list processor</t>
  </si>
  <si>
    <t xml:space="preserve">GTIA</t>
  </si>
  <si>
    <t xml:space="preserve">atari-gtia</t>
  </si>
  <si>
    <t xml:space="preserve">Colour/sprite processing; paired with ANTIC</t>
  </si>
  <si>
    <t xml:space="preserve">atari-maria</t>
  </si>
  <si>
    <t xml:space="preserve">Sprite-based; different from ANTIC</t>
  </si>
  <si>
    <t xml:space="preserve">Video+Audio</t>
  </si>
  <si>
    <t xml:space="preserve">atari-tia</t>
  </si>
  <si>
    <t xml:space="preserve">Video AND audio; beam-racing</t>
  </si>
  <si>
    <t xml:space="preserve">OCS: Agnus + Denise</t>
  </si>
  <si>
    <t xml:space="preserve">commodore-amiga-ocs</t>
  </si>
  <si>
    <t xml:space="preserve">Amiga 500/1000/2000</t>
  </si>
  <si>
    <t xml:space="preserve">Copper, Blitter, bitplanes, sprites, DMA</t>
  </si>
  <si>
    <t xml:space="preserve">AGA: Alice + Lisa</t>
  </si>
  <si>
    <t xml:space="preserve">commodore-amiga-aga</t>
  </si>
  <si>
    <t xml:space="preserve">Amiga 1200/4000/CD32</t>
  </si>
  <si>
    <t xml:space="preserve">Enhanced OCS; 256 colours from 16M palette</t>
  </si>
  <si>
    <t xml:space="preserve">Atari ST Shifter/GLUE/MMU</t>
  </si>
  <si>
    <t xml:space="preserve">atari-st-shifter</t>
  </si>
  <si>
    <t xml:space="preserve">Atari ST, STe</t>
  </si>
  <si>
    <t xml:space="preserve">Simpler than Amiga; border tricks still hard</t>
  </si>
  <si>
    <t xml:space="preserve">Nick (Enterprise ASIC)</t>
  </si>
  <si>
    <t xml:space="preserve">enterprise-nick</t>
  </si>
  <si>
    <t xml:space="preserve">Display list architecture</t>
  </si>
  <si>
    <t xml:space="preserve">CRTC 6845</t>
  </si>
  <si>
    <t xml:space="preserve">motorola-6845</t>
  </si>
  <si>
    <t xml:space="preserve">BBC Micro, CPC, PET (later), Commodore 128 VDC</t>
  </si>
  <si>
    <t xml:space="preserve">Programmable CRT controller; many variants</t>
  </si>
  <si>
    <t xml:space="preserve">motorola-6847</t>
  </si>
  <si>
    <t xml:space="preserve">Dragon, CoCo 1/2, Atom, Tomy Tutor (variant)</t>
  </si>
  <si>
    <t xml:space="preserve">Character/semigraphics modes</t>
  </si>
  <si>
    <t xml:space="preserve">ULA (Spectrum)</t>
  </si>
  <si>
    <t xml:space="preserve">sinclair-spectrum-ula</t>
  </si>
  <si>
    <t xml:space="preserve">ZX Spectrum (all models)</t>
  </si>
  <si>
    <t xml:space="preserve">Contended memory; floating bus</t>
  </si>
  <si>
    <t xml:space="preserve">Game Boy PPU</t>
  </si>
  <si>
    <t xml:space="preserve">nintendo-gb-ppu</t>
  </si>
  <si>
    <t xml:space="preserve">Tile-based; OAM, window, background</t>
  </si>
  <si>
    <t xml:space="preserve">GBA PPU</t>
  </si>
  <si>
    <t xml:space="preserve">nintendo-gba-ppu</t>
  </si>
  <si>
    <t xml:space="preserve">Mode 0-5; affine backgrounds; bitmap modes</t>
  </si>
  <si>
    <t xml:space="preserve">SuperFX</t>
  </si>
  <si>
    <t xml:space="preserve">Video copro</t>
  </si>
  <si>
    <t xml:space="preserve">nintendo-superfx</t>
  </si>
  <si>
    <t xml:space="preserve">SNES (Star Fox, Yoshi's Island, etc.)</t>
  </si>
  <si>
    <t xml:space="preserve">Cartridge coprocessor; polygon rendering</t>
  </si>
  <si>
    <t xml:space="preserve">CX4</t>
  </si>
  <si>
    <t xml:space="preserve">capcom-cx4</t>
  </si>
  <si>
    <t xml:space="preserve">SNES (Mega Man X2/X3)</t>
  </si>
  <si>
    <t xml:space="preserve">Wireframe/maths coprocessor</t>
  </si>
  <si>
    <t xml:space="preserve">GIME</t>
  </si>
  <si>
    <t xml:space="preserve">tandy-gime</t>
  </si>
  <si>
    <t xml:space="preserve">Tandy CoCo 3</t>
  </si>
  <si>
    <t xml:space="preserve">Replaces MC6847+SAM; MMU, enhanced video</t>
  </si>
  <si>
    <t xml:space="preserve">HuC6270 VDC</t>
  </si>
  <si>
    <t xml:space="preserve">hudson-huc6270</t>
  </si>
  <si>
    <t xml:space="preserve">TurboGrafx-16, SuperGrafx (×2)</t>
  </si>
  <si>
    <t xml:space="preserve">Sprite/background controller</t>
  </si>
  <si>
    <t xml:space="preserve">Suzy (Lynx)</t>
  </si>
  <si>
    <t xml:space="preserve">atari-suzy</t>
  </si>
  <si>
    <t xml:space="preserve">Hardware sprite scaling/rotation</t>
  </si>
  <si>
    <t xml:space="preserve">SOUND CHIPS</t>
  </si>
  <si>
    <t xml:space="preserve">Audio</t>
  </si>
  <si>
    <t xml:space="preserve">general-instrument-ay-3-8910</t>
  </si>
  <si>
    <t xml:space="preserve">Spectrum 128, CPC, MSX, Einstein, Atmos, Atari ST, Intellivision(8914 variant)</t>
  </si>
  <si>
    <t xml:space="preserve">3 channels + noise; ~15 platforms</t>
  </si>
  <si>
    <t xml:space="preserve">SID 6581 / 8580</t>
  </si>
  <si>
    <t xml:space="preserve">mos-6581</t>
  </si>
  <si>
    <t xml:space="preserve">Legendary sound chip; filter differences between revisions</t>
  </si>
  <si>
    <t xml:space="preserve">texas-sn76489</t>
  </si>
  <si>
    <t xml:space="preserve">Master System, Game Gear, Mega Drive, ColecoVision, BBC Micro, Memotech, Sord M5, SC-3000</t>
  </si>
  <si>
    <t xml:space="preserve">3 tone + 1 noise; ~10 platforms</t>
  </si>
  <si>
    <t xml:space="preserve">Audio+I/O</t>
  </si>
  <si>
    <t xml:space="preserve">atari-pokey</t>
  </si>
  <si>
    <t xml:space="preserve">Atari 400/800/XL/XE, Atari 5200, Atari 7800 (optional)</t>
  </si>
  <si>
    <t xml:space="preserve">4 channels; also handles keyboard, serial, random number</t>
  </si>
  <si>
    <t xml:space="preserve">commodore-paula</t>
  </si>
  <si>
    <t xml:space="preserve">All Amiga models</t>
  </si>
  <si>
    <t xml:space="preserve">4 channels PCM; also handles floppy/serial DMA</t>
  </si>
  <si>
    <t xml:space="preserve">YM2612</t>
  </si>
  <si>
    <t xml:space="preserve">yamaha-ym2612</t>
  </si>
  <si>
    <t xml:space="preserve">Mega Drive</t>
  </si>
  <si>
    <t xml:space="preserve">6-channel FM synthesis; Nuked OPN2 is reference</t>
  </si>
  <si>
    <t xml:space="preserve">YM2151 (OPM)</t>
  </si>
  <si>
    <t xml:space="preserve">yamaha-ym2151</t>
  </si>
  <si>
    <t xml:space="preserve">8-channel FM synthesis</t>
  </si>
  <si>
    <t xml:space="preserve">YM2203 / YM2608</t>
  </si>
  <si>
    <t xml:space="preserve">yamaha-ym2203</t>
  </si>
  <si>
    <t xml:space="preserve">NEC PC-88/98, FM-7 (later models)</t>
  </si>
  <si>
    <t xml:space="preserve">FM synthesis; SSG compatible</t>
  </si>
  <si>
    <t xml:space="preserve">yamaha-ym2610</t>
  </si>
  <si>
    <t xml:space="preserve">Neo Geo</t>
  </si>
  <si>
    <t xml:space="preserve">FM + ADPCM; arcade-grade</t>
  </si>
  <si>
    <t xml:space="preserve">Complete audio subsystem; 64K audio RAM</t>
  </si>
  <si>
    <t xml:space="preserve">Dave (Enterprise ASIC)</t>
  </si>
  <si>
    <t xml:space="preserve">enterprise-dave</t>
  </si>
  <si>
    <t xml:space="preserve">Sound + memory paging + I/O</t>
  </si>
  <si>
    <t xml:space="preserve">philips-saa1099</t>
  </si>
  <si>
    <t xml:space="preserve">6-channel stereo; Philips</t>
  </si>
  <si>
    <t xml:space="preserve">Audio DSP</t>
  </si>
  <si>
    <t xml:space="preserve">motorola-dsp56001</t>
  </si>
  <si>
    <t xml:space="preserve">Full DSP; general-purpose audio processing</t>
  </si>
  <si>
    <t xml:space="preserve">Ricoh RF5C68/164</t>
  </si>
  <si>
    <t xml:space="preserve">ricoh-rf5c68</t>
  </si>
  <si>
    <t xml:space="preserve">Mega CD, FM Towns</t>
  </si>
  <si>
    <t xml:space="preserve">8-channel PCM</t>
  </si>
  <si>
    <t xml:space="preserve">Mikey (Lynx)</t>
  </si>
  <si>
    <t xml:space="preserve">atari-mikey</t>
  </si>
  <si>
    <t xml:space="preserve">4 channels + timer + UART</t>
  </si>
  <si>
    <t xml:space="preserve">µPD7220 GDC</t>
  </si>
  <si>
    <t xml:space="preserve">nec-upd7220</t>
  </si>
  <si>
    <t xml:space="preserve">Graphics Display Controller; programmable drawing commands. Two in the PC-98 (main + sub).</t>
  </si>
  <si>
    <t xml:space="preserve">ibm-vga</t>
  </si>
  <si>
    <t xml:space="preserve">IBM PC compatibles, Tandy 1000 (variant)</t>
  </si>
  <si>
    <t xml:space="preserve">Progressive complexity. CGA is simple; VGA is a major undertaking. Consider separate crates per standard.</t>
  </si>
  <si>
    <t xml:space="preserve">FM Towns video</t>
  </si>
  <si>
    <t xml:space="preserve">fujitsu-towns-video</t>
  </si>
  <si>
    <t xml:space="preserve">FM Towns, FM Towns Marty</t>
  </si>
  <si>
    <t xml:space="preserve">Custom CRTC + sprite engine; multiple layers; 32768 colours.</t>
  </si>
  <si>
    <t xml:space="preserve">YM2608 (OPNA)</t>
  </si>
  <si>
    <t xml:space="preserve">yamaha-ym2608</t>
  </si>
  <si>
    <t xml:space="preserve">NEC PC-9801 (later models)</t>
  </si>
  <si>
    <t xml:space="preserve">Extended YM2203; FM + SSG + ADPCM + rhythm. The PC-98 sound chip.</t>
  </si>
  <si>
    <t xml:space="preserve">OPL2/OPL3 (YM3812/YMF262)</t>
  </si>
  <si>
    <t xml:space="preserve">yamaha-ym3812</t>
  </si>
  <si>
    <t xml:space="preserve">AdLib, Sound Blaster, many PC sound cards</t>
  </si>
  <si>
    <t xml:space="preserve">FM synthesis for IBM PC. OPL3 adds stereo and more channels.</t>
  </si>
  <si>
    <t xml:space="preserve">Sound Blaster DSP</t>
  </si>
  <si>
    <t xml:space="preserve">creative-sb-dsp</t>
  </si>
  <si>
    <t xml:space="preserve">Sound Blaster family</t>
  </si>
  <si>
    <t xml:space="preserve">PCM playback/recording + DSP commands. Multiple revisions (1.0, 2.0, Pro, 16).</t>
  </si>
  <si>
    <t xml:space="preserve">8259 PIC</t>
  </si>
  <si>
    <t xml:space="preserve">Support</t>
  </si>
  <si>
    <t xml:space="preserve">intel-8259</t>
  </si>
  <si>
    <t xml:space="preserve">IBM PC, NEC PC-9801</t>
  </si>
  <si>
    <t xml:space="preserve">Programmable Interrupt Controller. Two cascaded in AT-class machines.</t>
  </si>
  <si>
    <t xml:space="preserve">8237 DMA</t>
  </si>
  <si>
    <t xml:space="preserve">intel-8237</t>
  </si>
  <si>
    <t xml:space="preserve">DMA controller. Two cascaded in AT-class machines.</t>
  </si>
  <si>
    <t xml:space="preserve">SUPPORT / I/O CHIPS</t>
  </si>
  <si>
    <t xml:space="preserve">I/O</t>
  </si>
  <si>
    <t xml:space="preserve">mos-6522</t>
  </si>
  <si>
    <t xml:space="preserve">VIC-20, BBC Micro, Oric, Vectrex, Apple II (disk)</t>
  </si>
  <si>
    <t xml:space="preserve">Timers, shift register, parallel I/O</t>
  </si>
  <si>
    <t xml:space="preserve">6520/6821 PIA</t>
  </si>
  <si>
    <t xml:space="preserve">motorola-6821</t>
  </si>
  <si>
    <t xml:space="preserve">Apple I, PET, Dragon, CoCo, Atari 800</t>
  </si>
  <si>
    <t xml:space="preserve">Simple parallel I/O</t>
  </si>
  <si>
    <t xml:space="preserve">6526 CIA</t>
  </si>
  <si>
    <t xml:space="preserve">mos-6526</t>
  </si>
  <si>
    <t xml:space="preserve">Commodore 64, C128, Amiga</t>
  </si>
  <si>
    <t xml:space="preserve">Timers, TOD clock, serial shift, I/O</t>
  </si>
  <si>
    <t xml:space="preserve">intel-8255</t>
  </si>
  <si>
    <t xml:space="preserve">MSX, MSX2, Spectravideo</t>
  </si>
  <si>
    <t xml:space="preserve">WD1770/1772/1793 FDC</t>
  </si>
  <si>
    <t xml:space="preserve">Storage</t>
  </si>
  <si>
    <t xml:space="preserve">western-digital-wd1770</t>
  </si>
  <si>
    <t xml:space="preserve">Einstein, Enterprise, CPC, Atari ST, Acorn, Amiga</t>
  </si>
  <si>
    <t xml:space="preserve">Floppy disk controller family</t>
  </si>
  <si>
    <t xml:space="preserve">Intel 8251 USART</t>
  </si>
  <si>
    <t xml:space="preserve">Serial</t>
  </si>
  <si>
    <t xml:space="preserve">intel-8251</t>
  </si>
  <si>
    <t xml:space="preserve">Einstein, various</t>
  </si>
  <si>
    <t xml:space="preserve">Serial communication</t>
  </si>
  <si>
    <t xml:space="preserve">Z80 CTC</t>
  </si>
  <si>
    <t xml:space="preserve">Timer</t>
  </si>
  <si>
    <t xml:space="preserve">zilog-z80ctc</t>
  </si>
  <si>
    <t xml:space="preserve">Einstein, Memotech, various</t>
  </si>
  <si>
    <t xml:space="preserve">Counter/timer</t>
  </si>
  <si>
    <t xml:space="preserve">Z80 PIO</t>
  </si>
  <si>
    <t xml:space="preserve">zilog-z80pio</t>
  </si>
  <si>
    <t xml:space="preserve">Parallel I/O</t>
  </si>
  <si>
    <t xml:space="preserve">MFP 68901</t>
  </si>
  <si>
    <t xml:space="preserve">motorola-68901</t>
  </si>
  <si>
    <t xml:space="preserve">Atari ST</t>
  </si>
  <si>
    <t xml:space="preserve">Multi-function peripheral; timers, USART, GPIO, interrupts</t>
  </si>
  <si>
    <t xml:space="preserve">Copper (Amiga)</t>
  </si>
  <si>
    <t xml:space="preserve">Copro</t>
  </si>
  <si>
    <t xml:space="preserve">commodore-copper</t>
  </si>
  <si>
    <t xml:space="preserve">Video-synchronised coprocessor; part of Agnus</t>
  </si>
  <si>
    <t xml:space="preserve">Blitter (Amiga)</t>
  </si>
  <si>
    <t xml:space="preserve">commodore-blitter</t>
  </si>
  <si>
    <t xml:space="preserve">DMA block transfer; line draw; area fill</t>
  </si>
  <si>
    <t xml:space="preserve">DPC (Pitfall II)</t>
  </si>
  <si>
    <t xml:space="preserve">Cart copro</t>
  </si>
  <si>
    <t xml:space="preserve">activision-dpc</t>
  </si>
  <si>
    <t xml:space="preserve">Atari 2600 (Pitfall II only)</t>
  </si>
  <si>
    <t xml:space="preserve">David Crane's Display Processor Chip</t>
  </si>
  <si>
    <t xml:space="preserve">MMC/mapper chips</t>
  </si>
  <si>
    <t xml:space="preserve">nintendo-nes-mappers</t>
  </si>
  <si>
    <t xml:space="preserve">NES (various)</t>
  </si>
  <si>
    <t xml:space="preserve">MMC1, MMC3, MMC5, VRC, etc.</t>
  </si>
  <si>
    <t xml:space="preserve">commodore-akiko</t>
  </si>
  <si>
    <t xml:space="preserve">Amiga CD32</t>
  </si>
  <si>
    <t xml:space="preserve">Chunky-to-planar conversion</t>
  </si>
  <si>
    <t xml:space="preserve">Emu198x Component Reuse Analysis</t>
  </si>
  <si>
    <t xml:space="preserve">Total platforms listed</t>
  </si>
  <si>
    <t xml:space="preserve">CPU Core Coverage</t>
  </si>
  <si>
    <t xml:space="preserve">Z80-based platforms</t>
  </si>
  <si>
    <t xml:space="preserve">6502-family platforms</t>
  </si>
  <si>
    <t xml:space="preserve">68000-family platforms</t>
  </si>
  <si>
    <t xml:space="preserve">6809-based platforms</t>
  </si>
  <si>
    <t xml:space="preserve">Other CPUs (unique cores needed)</t>
  </si>
  <si>
    <t xml:space="preserve">Video Chip Coverage</t>
  </si>
  <si>
    <t xml:space="preserve">TMS9918-family platforms</t>
  </si>
  <si>
    <t xml:space="preserve">Sound Chip Coverage</t>
  </si>
  <si>
    <t xml:space="preserve">AY-3-8910/YM2149 platforms</t>
  </si>
  <si>
    <t xml:space="preserve">SN76489 platforms</t>
  </si>
  <si>
    <t xml:space="preserve">Platforms DONE</t>
  </si>
  <si>
    <t xml:space="preserve">Platforms WIP</t>
  </si>
  <si>
    <t xml:space="preserve">Platforms TODO</t>
  </si>
  <si>
    <t xml:space="preserve">Components DONE</t>
  </si>
  <si>
    <t xml:space="preserve">Components WIP</t>
  </si>
  <si>
    <t xml:space="preserve">Components TODO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</si>
</sst>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FF6FF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1FA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4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5" t="s">
        <v>23</v>
      </c>
      <c r="L3" s="4" t="s">
        <v>24</v>
      </c>
    </row>
    <row r="4" customFormat="false" ht="15" hidden="false" customHeight="true" outlineLevel="0" collapsed="false">
      <c r="A4" s="4" t="s">
        <v>25</v>
      </c>
      <c r="B4" s="4" t="s">
        <v>14</v>
      </c>
      <c r="C4" s="4" t="s">
        <v>26</v>
      </c>
      <c r="D4" s="4" t="s">
        <v>16</v>
      </c>
      <c r="E4" s="4" t="s">
        <v>17</v>
      </c>
      <c r="F4" s="4" t="s">
        <v>18</v>
      </c>
      <c r="G4" s="4" t="s">
        <v>27</v>
      </c>
      <c r="H4" s="4" t="s">
        <v>28</v>
      </c>
      <c r="I4" s="4" t="s">
        <v>29</v>
      </c>
      <c r="J4" s="4" t="s">
        <v>30</v>
      </c>
      <c r="K4" s="5" t="s">
        <v>23</v>
      </c>
      <c r="L4" s="4" t="s">
        <v>31</v>
      </c>
    </row>
    <row r="5" customFormat="false" ht="15" hidden="false" customHeight="true" outlineLevel="0" collapsed="false">
      <c r="A5" s="4" t="s">
        <v>32</v>
      </c>
      <c r="B5" s="4" t="s">
        <v>14</v>
      </c>
      <c r="C5" s="4" t="s">
        <v>26</v>
      </c>
      <c r="D5" s="4" t="s">
        <v>16</v>
      </c>
      <c r="E5" s="4" t="s">
        <v>17</v>
      </c>
      <c r="F5" s="4" t="s">
        <v>33</v>
      </c>
      <c r="G5" s="4" t="s">
        <v>34</v>
      </c>
      <c r="H5" s="4" t="s">
        <v>28</v>
      </c>
      <c r="I5" s="4" t="s">
        <v>35</v>
      </c>
      <c r="J5" s="4" t="s">
        <v>36</v>
      </c>
      <c r="K5" s="5" t="s">
        <v>23</v>
      </c>
      <c r="L5" s="4" t="s">
        <v>37</v>
      </c>
    </row>
    <row r="6" customFormat="false" ht="15" hidden="false" customHeight="true" outlineLevel="0" collapsed="false">
      <c r="A6" s="4" t="s">
        <v>38</v>
      </c>
      <c r="B6" s="4" t="s">
        <v>14</v>
      </c>
      <c r="C6" s="4" t="s">
        <v>26</v>
      </c>
      <c r="D6" s="4" t="s">
        <v>16</v>
      </c>
      <c r="E6" s="4" t="s">
        <v>39</v>
      </c>
      <c r="F6" s="4" t="s">
        <v>40</v>
      </c>
      <c r="G6" s="4" t="s">
        <v>34</v>
      </c>
      <c r="H6" s="4" t="s">
        <v>20</v>
      </c>
      <c r="I6" s="4" t="s">
        <v>41</v>
      </c>
      <c r="J6" s="4" t="s">
        <v>42</v>
      </c>
      <c r="K6" s="5" t="s">
        <v>23</v>
      </c>
      <c r="L6" s="4" t="s">
        <v>43</v>
      </c>
    </row>
    <row r="7" customFormat="false" ht="15" hidden="false" customHeight="true" outlineLevel="0" collapsed="false">
      <c r="A7" s="4" t="s">
        <v>44</v>
      </c>
      <c r="B7" s="4" t="s">
        <v>14</v>
      </c>
      <c r="C7" s="4" t="s">
        <v>45</v>
      </c>
      <c r="D7" s="4" t="s">
        <v>16</v>
      </c>
      <c r="E7" s="4" t="s">
        <v>17</v>
      </c>
      <c r="F7" s="4" t="s">
        <v>46</v>
      </c>
      <c r="G7" s="4" t="s">
        <v>47</v>
      </c>
      <c r="H7" s="4" t="s">
        <v>48</v>
      </c>
      <c r="I7" s="4" t="s">
        <v>41</v>
      </c>
      <c r="J7" s="4" t="s">
        <v>49</v>
      </c>
      <c r="K7" s="5" t="s">
        <v>23</v>
      </c>
      <c r="L7" s="4" t="s">
        <v>50</v>
      </c>
    </row>
    <row r="8" customFormat="false" ht="15" hidden="false" customHeight="true" outlineLevel="0" collapsed="false">
      <c r="A8" s="3" t="s">
        <v>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A9" s="4" t="s">
        <v>52</v>
      </c>
      <c r="B9" s="4" t="s">
        <v>14</v>
      </c>
      <c r="C9" s="4" t="s">
        <v>26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56</v>
      </c>
      <c r="I9" s="4" t="s">
        <v>41</v>
      </c>
      <c r="J9" s="4" t="s">
        <v>57</v>
      </c>
      <c r="K9" s="6" t="s">
        <v>58</v>
      </c>
      <c r="L9" s="4" t="s">
        <v>59</v>
      </c>
    </row>
    <row r="10" customFormat="false" ht="15" hidden="false" customHeight="true" outlineLevel="0" collapsed="false">
      <c r="A10" s="4" t="s">
        <v>60</v>
      </c>
      <c r="B10" s="4" t="s">
        <v>14</v>
      </c>
      <c r="C10" s="4" t="s">
        <v>45</v>
      </c>
      <c r="D10" s="4" t="s">
        <v>53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41</v>
      </c>
      <c r="J10" s="4" t="s">
        <v>65</v>
      </c>
      <c r="K10" s="5" t="s">
        <v>23</v>
      </c>
      <c r="L10" s="4" t="s">
        <v>66</v>
      </c>
    </row>
    <row r="11" customFormat="false" ht="15" hidden="false" customHeight="true" outlineLevel="0" collapsed="false">
      <c r="A11" s="4" t="s">
        <v>67</v>
      </c>
      <c r="B11" s="4" t="s">
        <v>14</v>
      </c>
      <c r="C11" s="4" t="s">
        <v>68</v>
      </c>
      <c r="D11" s="4" t="s">
        <v>53</v>
      </c>
      <c r="E11" s="4" t="s">
        <v>39</v>
      </c>
      <c r="F11" s="4" t="s">
        <v>69</v>
      </c>
      <c r="G11" s="4" t="s">
        <v>70</v>
      </c>
      <c r="H11" s="4" t="s">
        <v>71</v>
      </c>
      <c r="I11" s="4" t="s">
        <v>41</v>
      </c>
      <c r="J11" s="4" t="s">
        <v>72</v>
      </c>
      <c r="K11" s="5" t="s">
        <v>23</v>
      </c>
      <c r="L11" s="4" t="s">
        <v>73</v>
      </c>
    </row>
    <row r="12" customFormat="false" ht="15" hidden="false" customHeight="true" outlineLevel="0" collapsed="false">
      <c r="A12" s="4" t="s">
        <v>74</v>
      </c>
      <c r="B12" s="4" t="s">
        <v>14</v>
      </c>
      <c r="C12" s="4" t="s">
        <v>68</v>
      </c>
      <c r="D12" s="4" t="s">
        <v>53</v>
      </c>
      <c r="E12" s="4" t="s">
        <v>75</v>
      </c>
      <c r="F12" s="4" t="s">
        <v>46</v>
      </c>
      <c r="G12" s="4" t="s">
        <v>47</v>
      </c>
      <c r="H12" s="4" t="s">
        <v>48</v>
      </c>
      <c r="I12" s="4" t="s">
        <v>41</v>
      </c>
      <c r="J12" s="4" t="s">
        <v>76</v>
      </c>
      <c r="K12" s="6" t="s">
        <v>58</v>
      </c>
      <c r="L12" s="4" t="s">
        <v>77</v>
      </c>
    </row>
    <row r="13" customFormat="false" ht="15" hidden="false" customHeight="true" outlineLevel="0" collapsed="false">
      <c r="A13" s="4" t="s">
        <v>78</v>
      </c>
      <c r="B13" s="4" t="s">
        <v>14</v>
      </c>
      <c r="C13" s="4" t="s">
        <v>68</v>
      </c>
      <c r="D13" s="4" t="s">
        <v>53</v>
      </c>
      <c r="E13" s="4" t="s">
        <v>79</v>
      </c>
      <c r="F13" s="4" t="s">
        <v>80</v>
      </c>
      <c r="G13" s="4" t="s">
        <v>81</v>
      </c>
      <c r="H13" s="4" t="s">
        <v>82</v>
      </c>
      <c r="I13" s="4" t="s">
        <v>83</v>
      </c>
      <c r="J13" s="4" t="s">
        <v>84</v>
      </c>
      <c r="K13" s="5" t="s">
        <v>23</v>
      </c>
      <c r="L13" s="4" t="s">
        <v>85</v>
      </c>
    </row>
    <row r="14" customFormat="false" ht="15" hidden="false" customHeight="true" outlineLevel="0" collapsed="false">
      <c r="A14" s="4" t="s">
        <v>86</v>
      </c>
      <c r="B14" s="4" t="s">
        <v>14</v>
      </c>
      <c r="C14" s="4" t="s">
        <v>87</v>
      </c>
      <c r="D14" s="4" t="s">
        <v>53</v>
      </c>
      <c r="E14" s="4" t="s">
        <v>75</v>
      </c>
      <c r="F14" s="4" t="s">
        <v>46</v>
      </c>
      <c r="G14" s="4" t="s">
        <v>88</v>
      </c>
      <c r="H14" s="4" t="s">
        <v>89</v>
      </c>
      <c r="I14" s="4" t="s">
        <v>41</v>
      </c>
      <c r="J14" s="4" t="s">
        <v>90</v>
      </c>
      <c r="K14" s="5" t="s">
        <v>23</v>
      </c>
      <c r="L14" s="4" t="s">
        <v>91</v>
      </c>
    </row>
    <row r="15" customFormat="false" ht="15" hidden="false" customHeight="true" outlineLevel="0" collapsed="false">
      <c r="A15" s="3" t="s">
        <v>92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4" t="s">
        <v>93</v>
      </c>
      <c r="B16" s="4" t="s">
        <v>94</v>
      </c>
      <c r="C16" s="4" t="s">
        <v>95</v>
      </c>
      <c r="D16" s="4" t="s">
        <v>16</v>
      </c>
      <c r="E16" s="4" t="s">
        <v>39</v>
      </c>
      <c r="F16" s="4" t="s">
        <v>96</v>
      </c>
      <c r="G16" s="4" t="s">
        <v>97</v>
      </c>
      <c r="H16" s="4" t="s">
        <v>20</v>
      </c>
      <c r="I16" s="4" t="s">
        <v>41</v>
      </c>
      <c r="J16" s="4" t="s">
        <v>84</v>
      </c>
      <c r="K16" s="5" t="s">
        <v>23</v>
      </c>
      <c r="L16" s="4" t="s">
        <v>98</v>
      </c>
    </row>
    <row r="17" customFormat="false" ht="15" hidden="false" customHeight="true" outlineLevel="0" collapsed="false">
      <c r="A17" s="4" t="s">
        <v>99</v>
      </c>
      <c r="B17" s="4" t="s">
        <v>94</v>
      </c>
      <c r="C17" s="4" t="s">
        <v>100</v>
      </c>
      <c r="D17" s="4" t="s">
        <v>16</v>
      </c>
      <c r="E17" s="4" t="s">
        <v>39</v>
      </c>
      <c r="F17" s="4" t="s">
        <v>96</v>
      </c>
      <c r="G17" s="4" t="s">
        <v>101</v>
      </c>
      <c r="H17" s="4" t="s">
        <v>20</v>
      </c>
      <c r="I17" s="4" t="s">
        <v>41</v>
      </c>
      <c r="J17" s="4" t="s">
        <v>84</v>
      </c>
      <c r="K17" s="5" t="s">
        <v>23</v>
      </c>
      <c r="L17" s="4" t="s">
        <v>102</v>
      </c>
    </row>
    <row r="18" customFormat="false" ht="15" hidden="false" customHeight="true" outlineLevel="0" collapsed="false">
      <c r="A18" s="4" t="s">
        <v>103</v>
      </c>
      <c r="B18" s="4" t="s">
        <v>94</v>
      </c>
      <c r="C18" s="4" t="s">
        <v>68</v>
      </c>
      <c r="D18" s="4" t="s">
        <v>16</v>
      </c>
      <c r="E18" s="4" t="s">
        <v>39</v>
      </c>
      <c r="F18" s="4" t="s">
        <v>96</v>
      </c>
      <c r="G18" s="4" t="s">
        <v>34</v>
      </c>
      <c r="H18" s="4" t="s">
        <v>28</v>
      </c>
      <c r="I18" s="4" t="s">
        <v>41</v>
      </c>
      <c r="J18" s="4" t="s">
        <v>104</v>
      </c>
      <c r="K18" s="5" t="s">
        <v>23</v>
      </c>
      <c r="L18" s="4" t="s">
        <v>105</v>
      </c>
    </row>
    <row r="19" customFormat="false" ht="15" hidden="false" customHeight="true" outlineLevel="0" collapsed="false">
      <c r="A19" s="4" t="s">
        <v>106</v>
      </c>
      <c r="B19" s="4" t="s">
        <v>94</v>
      </c>
      <c r="C19" s="4" t="s">
        <v>100</v>
      </c>
      <c r="D19" s="4" t="s">
        <v>16</v>
      </c>
      <c r="E19" s="4" t="s">
        <v>17</v>
      </c>
      <c r="F19" s="4" t="s">
        <v>107</v>
      </c>
      <c r="G19" s="4" t="s">
        <v>108</v>
      </c>
      <c r="H19" s="4" t="s">
        <v>109</v>
      </c>
      <c r="I19" s="4" t="s">
        <v>110</v>
      </c>
      <c r="J19" s="4" t="s">
        <v>111</v>
      </c>
      <c r="K19" s="5" t="s">
        <v>23</v>
      </c>
      <c r="L19" s="4" t="s">
        <v>112</v>
      </c>
    </row>
    <row r="20" customFormat="false" ht="15" hidden="false" customHeight="true" outlineLevel="0" collapsed="false">
      <c r="A20" s="4" t="s">
        <v>113</v>
      </c>
      <c r="B20" s="4" t="s">
        <v>94</v>
      </c>
      <c r="C20" s="4" t="s">
        <v>68</v>
      </c>
      <c r="D20" s="4" t="s">
        <v>16</v>
      </c>
      <c r="E20" s="4" t="s">
        <v>39</v>
      </c>
      <c r="F20" s="4" t="s">
        <v>114</v>
      </c>
      <c r="G20" s="4" t="s">
        <v>101</v>
      </c>
      <c r="H20" s="4" t="s">
        <v>28</v>
      </c>
      <c r="I20" s="4" t="s">
        <v>41</v>
      </c>
      <c r="J20" s="4" t="s">
        <v>115</v>
      </c>
      <c r="K20" s="6" t="s">
        <v>58</v>
      </c>
      <c r="L20" s="4" t="s">
        <v>116</v>
      </c>
    </row>
    <row r="21" customFormat="false" ht="15" hidden="false" customHeight="true" outlineLevel="0" collapsed="false">
      <c r="A21" s="4" t="s">
        <v>117</v>
      </c>
      <c r="B21" s="4" t="s">
        <v>118</v>
      </c>
      <c r="C21" s="4" t="s">
        <v>68</v>
      </c>
      <c r="D21" s="4" t="s">
        <v>16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6" t="s">
        <v>58</v>
      </c>
      <c r="L21" s="4" t="s">
        <v>125</v>
      </c>
    </row>
    <row r="22" customFormat="false" ht="15" hidden="false" customHeight="true" outlineLevel="0" collapsed="false">
      <c r="A22" s="4" t="s">
        <v>126</v>
      </c>
      <c r="B22" s="4" t="s">
        <v>127</v>
      </c>
      <c r="C22" s="4" t="s">
        <v>100</v>
      </c>
      <c r="D22" s="4" t="s">
        <v>16</v>
      </c>
      <c r="E22" s="4" t="s">
        <v>17</v>
      </c>
      <c r="F22" s="4" t="s">
        <v>120</v>
      </c>
      <c r="G22" s="4" t="s">
        <v>128</v>
      </c>
      <c r="H22" s="4" t="s">
        <v>128</v>
      </c>
      <c r="I22" s="4" t="s">
        <v>110</v>
      </c>
      <c r="J22" s="4" t="s">
        <v>129</v>
      </c>
      <c r="K22" s="5" t="s">
        <v>23</v>
      </c>
      <c r="L22" s="4" t="s">
        <v>130</v>
      </c>
    </row>
    <row r="23" customFormat="false" ht="15" hidden="false" customHeight="true" outlineLevel="0" collapsed="false">
      <c r="A23" s="4" t="s">
        <v>131</v>
      </c>
      <c r="B23" s="4" t="s">
        <v>14</v>
      </c>
      <c r="C23" s="4" t="s">
        <v>132</v>
      </c>
      <c r="D23" s="4" t="s">
        <v>16</v>
      </c>
      <c r="E23" s="4" t="s">
        <v>133</v>
      </c>
      <c r="F23" s="4" t="s">
        <v>134</v>
      </c>
      <c r="G23" s="4" t="s">
        <v>135</v>
      </c>
      <c r="H23" s="4" t="s">
        <v>135</v>
      </c>
      <c r="I23" s="4" t="s">
        <v>41</v>
      </c>
      <c r="J23" s="4" t="s">
        <v>136</v>
      </c>
      <c r="K23" s="5" t="s">
        <v>23</v>
      </c>
      <c r="L23" s="4" t="s">
        <v>137</v>
      </c>
    </row>
    <row r="24" customFormat="false" ht="15" hidden="false" customHeight="true" outlineLevel="0" collapsed="false">
      <c r="A24" s="4" t="s">
        <v>138</v>
      </c>
      <c r="B24" s="4" t="s">
        <v>94</v>
      </c>
      <c r="C24" s="4" t="s">
        <v>68</v>
      </c>
      <c r="D24" s="4" t="s">
        <v>16</v>
      </c>
      <c r="E24" s="4" t="s">
        <v>139</v>
      </c>
      <c r="F24" s="4" t="s">
        <v>140</v>
      </c>
      <c r="G24" s="4" t="s">
        <v>141</v>
      </c>
      <c r="H24" s="4" t="s">
        <v>142</v>
      </c>
      <c r="I24" s="4" t="s">
        <v>143</v>
      </c>
      <c r="J24" s="4" t="s">
        <v>144</v>
      </c>
      <c r="K24" s="5" t="s">
        <v>23</v>
      </c>
      <c r="L24" s="4" t="s">
        <v>145</v>
      </c>
    </row>
    <row r="25" customFormat="false" ht="15" hidden="false" customHeight="true" outlineLevel="0" collapsed="false">
      <c r="A25" s="4" t="s">
        <v>146</v>
      </c>
      <c r="B25" s="4" t="s">
        <v>14</v>
      </c>
      <c r="C25" s="4" t="s">
        <v>95</v>
      </c>
      <c r="D25" s="4" t="s">
        <v>16</v>
      </c>
      <c r="E25" s="4" t="s">
        <v>139</v>
      </c>
      <c r="F25" s="4" t="s">
        <v>140</v>
      </c>
      <c r="G25" s="4" t="s">
        <v>147</v>
      </c>
      <c r="H25" s="4" t="s">
        <v>148</v>
      </c>
      <c r="I25" s="4" t="s">
        <v>149</v>
      </c>
      <c r="J25" s="4" t="s">
        <v>150</v>
      </c>
      <c r="K25" s="5" t="s">
        <v>23</v>
      </c>
      <c r="L25" s="4" t="s">
        <v>151</v>
      </c>
    </row>
    <row r="26" customFormat="false" ht="15" hidden="false" customHeight="true" outlineLevel="0" collapsed="false">
      <c r="A26" s="4" t="s">
        <v>152</v>
      </c>
      <c r="B26" s="4" t="s">
        <v>153</v>
      </c>
      <c r="C26" s="4" t="s">
        <v>154</v>
      </c>
      <c r="D26" s="4" t="s">
        <v>16</v>
      </c>
      <c r="E26" s="4" t="s">
        <v>17</v>
      </c>
      <c r="F26" s="4" t="s">
        <v>18</v>
      </c>
      <c r="G26" s="4" t="s">
        <v>101</v>
      </c>
      <c r="H26" s="4" t="s">
        <v>82</v>
      </c>
      <c r="I26" s="4" t="s">
        <v>83</v>
      </c>
      <c r="J26" s="4" t="s">
        <v>155</v>
      </c>
      <c r="K26" s="5" t="s">
        <v>23</v>
      </c>
      <c r="L26" s="4" t="s">
        <v>156</v>
      </c>
    </row>
    <row r="27" customFormat="false" ht="15" hidden="false" customHeight="true" outlineLevel="0" collapsed="false">
      <c r="A27" s="4" t="s">
        <v>157</v>
      </c>
      <c r="B27" s="4" t="s">
        <v>94</v>
      </c>
      <c r="C27" s="4" t="s">
        <v>132</v>
      </c>
      <c r="D27" s="4" t="s">
        <v>16</v>
      </c>
      <c r="E27" s="4" t="s">
        <v>158</v>
      </c>
      <c r="F27" s="4" t="s">
        <v>159</v>
      </c>
      <c r="G27" s="4" t="s">
        <v>160</v>
      </c>
      <c r="H27" s="4" t="s">
        <v>82</v>
      </c>
      <c r="I27" s="4" t="s">
        <v>41</v>
      </c>
      <c r="J27" s="4" t="s">
        <v>161</v>
      </c>
      <c r="K27" s="5" t="s">
        <v>23</v>
      </c>
      <c r="L27" s="4" t="s">
        <v>162</v>
      </c>
    </row>
    <row r="28" customFormat="false" ht="15" hidden="false" customHeight="true" outlineLevel="0" collapsed="false">
      <c r="A28" s="4" t="s">
        <v>163</v>
      </c>
      <c r="B28" s="4" t="s">
        <v>164</v>
      </c>
      <c r="C28" s="4" t="s">
        <v>154</v>
      </c>
      <c r="D28" s="4" t="s">
        <v>16</v>
      </c>
      <c r="E28" s="4" t="s">
        <v>158</v>
      </c>
      <c r="F28" s="4" t="s">
        <v>69</v>
      </c>
      <c r="G28" s="4" t="s">
        <v>165</v>
      </c>
      <c r="H28" s="4" t="s">
        <v>166</v>
      </c>
      <c r="I28" s="4" t="s">
        <v>167</v>
      </c>
      <c r="J28" s="4" t="s">
        <v>168</v>
      </c>
      <c r="K28" s="5" t="s">
        <v>23</v>
      </c>
      <c r="L28" s="4" t="s">
        <v>169</v>
      </c>
    </row>
    <row r="29" customFormat="false" ht="15" hidden="false" customHeight="true" outlineLevel="0" collapsed="false">
      <c r="A29" s="4" t="s">
        <v>170</v>
      </c>
      <c r="B29" s="4" t="s">
        <v>164</v>
      </c>
      <c r="C29" s="4" t="s">
        <v>171</v>
      </c>
      <c r="D29" s="4" t="s">
        <v>16</v>
      </c>
      <c r="E29" s="4" t="s">
        <v>158</v>
      </c>
      <c r="F29" s="4" t="s">
        <v>69</v>
      </c>
      <c r="G29" s="4" t="s">
        <v>172</v>
      </c>
      <c r="H29" s="4" t="s">
        <v>173</v>
      </c>
      <c r="I29" s="4" t="s">
        <v>167</v>
      </c>
      <c r="J29" s="4" t="s">
        <v>174</v>
      </c>
      <c r="K29" s="5" t="s">
        <v>23</v>
      </c>
      <c r="L29" s="4" t="s">
        <v>175</v>
      </c>
    </row>
    <row r="30" customFormat="false" ht="15" hidden="false" customHeight="true" outlineLevel="0" collapsed="false">
      <c r="A30" s="4" t="s">
        <v>176</v>
      </c>
      <c r="B30" s="4" t="s">
        <v>94</v>
      </c>
      <c r="C30" s="4" t="s">
        <v>154</v>
      </c>
      <c r="D30" s="4" t="s">
        <v>16</v>
      </c>
      <c r="E30" s="4" t="s">
        <v>17</v>
      </c>
      <c r="F30" s="4" t="s">
        <v>177</v>
      </c>
      <c r="G30" s="4" t="s">
        <v>101</v>
      </c>
      <c r="H30" s="4" t="s">
        <v>178</v>
      </c>
      <c r="I30" s="4" t="s">
        <v>41</v>
      </c>
      <c r="J30" s="4" t="s">
        <v>179</v>
      </c>
      <c r="K30" s="5" t="s">
        <v>23</v>
      </c>
      <c r="L30" s="4" t="s">
        <v>180</v>
      </c>
    </row>
    <row r="31" customFormat="false" ht="15" hidden="false" customHeight="true" outlineLevel="0" collapsed="false">
      <c r="A31" s="4" t="s">
        <v>181</v>
      </c>
      <c r="B31" s="4" t="s">
        <v>94</v>
      </c>
      <c r="C31" s="4" t="s">
        <v>95</v>
      </c>
      <c r="D31" s="4" t="s">
        <v>16</v>
      </c>
      <c r="E31" s="4" t="s">
        <v>17</v>
      </c>
      <c r="F31" s="4" t="s">
        <v>18</v>
      </c>
      <c r="G31" s="4" t="s">
        <v>141</v>
      </c>
      <c r="H31" s="4" t="s">
        <v>28</v>
      </c>
      <c r="I31" s="4" t="s">
        <v>182</v>
      </c>
      <c r="J31" s="4" t="s">
        <v>183</v>
      </c>
      <c r="K31" s="5" t="s">
        <v>23</v>
      </c>
      <c r="L31" s="4" t="s">
        <v>184</v>
      </c>
    </row>
    <row r="32" customFormat="false" ht="15" hidden="false" customHeight="true" outlineLevel="0" collapsed="false">
      <c r="A32" s="4" t="s">
        <v>185</v>
      </c>
      <c r="B32" s="4" t="s">
        <v>94</v>
      </c>
      <c r="C32" s="4" t="s">
        <v>154</v>
      </c>
      <c r="D32" s="4" t="s">
        <v>16</v>
      </c>
      <c r="E32" s="4" t="s">
        <v>158</v>
      </c>
      <c r="F32" s="4" t="s">
        <v>159</v>
      </c>
      <c r="G32" s="4" t="s">
        <v>186</v>
      </c>
      <c r="H32" s="4" t="s">
        <v>71</v>
      </c>
      <c r="I32" s="4" t="s">
        <v>187</v>
      </c>
      <c r="J32" s="4" t="s">
        <v>188</v>
      </c>
      <c r="K32" s="5" t="s">
        <v>23</v>
      </c>
      <c r="L32" s="4" t="s">
        <v>189</v>
      </c>
    </row>
    <row r="33" customFormat="false" ht="15" hidden="false" customHeight="true" outlineLevel="0" collapsed="false">
      <c r="A33" s="4" t="s">
        <v>190</v>
      </c>
      <c r="B33" s="4" t="s">
        <v>94</v>
      </c>
      <c r="C33" s="4" t="s">
        <v>132</v>
      </c>
      <c r="D33" s="4" t="s">
        <v>16</v>
      </c>
      <c r="E33" s="4" t="s">
        <v>158</v>
      </c>
      <c r="F33" s="4" t="s">
        <v>159</v>
      </c>
      <c r="G33" s="4" t="s">
        <v>191</v>
      </c>
      <c r="H33" s="4" t="s">
        <v>166</v>
      </c>
      <c r="I33" s="4" t="s">
        <v>192</v>
      </c>
      <c r="J33" s="4" t="s">
        <v>193</v>
      </c>
      <c r="K33" s="5" t="s">
        <v>23</v>
      </c>
      <c r="L33" s="4" t="s">
        <v>194</v>
      </c>
    </row>
    <row r="34" customFormat="false" ht="15" hidden="false" customHeight="true" outlineLevel="0" collapsed="false">
      <c r="A34" s="4" t="s">
        <v>195</v>
      </c>
      <c r="B34" s="4" t="s">
        <v>94</v>
      </c>
      <c r="C34" s="4" t="s">
        <v>171</v>
      </c>
      <c r="D34" s="4" t="s">
        <v>16</v>
      </c>
      <c r="E34" s="4" t="s">
        <v>158</v>
      </c>
      <c r="F34" s="4" t="s">
        <v>159</v>
      </c>
      <c r="G34" s="4" t="s">
        <v>196</v>
      </c>
      <c r="H34" s="4" t="s">
        <v>197</v>
      </c>
      <c r="I34" s="4" t="s">
        <v>198</v>
      </c>
      <c r="J34" s="4" t="s">
        <v>161</v>
      </c>
      <c r="K34" s="5" t="s">
        <v>23</v>
      </c>
      <c r="L34" s="4" t="s">
        <v>199</v>
      </c>
    </row>
    <row r="35" customFormat="false" ht="15" hidden="false" customHeight="true" outlineLevel="0" collapsed="false">
      <c r="A35" s="4" t="s">
        <v>200</v>
      </c>
      <c r="B35" s="4" t="s">
        <v>94</v>
      </c>
      <c r="C35" s="4" t="s">
        <v>201</v>
      </c>
      <c r="D35" s="4" t="s">
        <v>16</v>
      </c>
      <c r="E35" s="4" t="s">
        <v>202</v>
      </c>
      <c r="F35" s="4" t="s">
        <v>203</v>
      </c>
      <c r="G35" s="4" t="s">
        <v>204</v>
      </c>
      <c r="H35" s="4" t="s">
        <v>205</v>
      </c>
      <c r="I35" s="4" t="s">
        <v>41</v>
      </c>
      <c r="J35" s="4" t="s">
        <v>206</v>
      </c>
      <c r="K35" s="5" t="s">
        <v>23</v>
      </c>
      <c r="L35" s="4" t="s">
        <v>207</v>
      </c>
    </row>
    <row r="36" customFormat="false" ht="15" hidden="false" customHeight="true" outlineLevel="0" collapsed="false">
      <c r="A36" s="4" t="s">
        <v>208</v>
      </c>
      <c r="B36" s="4" t="s">
        <v>94</v>
      </c>
      <c r="C36" s="4" t="s">
        <v>154</v>
      </c>
      <c r="D36" s="4" t="s">
        <v>16</v>
      </c>
      <c r="E36" s="4" t="s">
        <v>158</v>
      </c>
      <c r="F36" s="4" t="s">
        <v>159</v>
      </c>
      <c r="G36" s="4" t="s">
        <v>209</v>
      </c>
      <c r="H36" s="4" t="s">
        <v>142</v>
      </c>
      <c r="I36" s="4" t="s">
        <v>41</v>
      </c>
      <c r="J36" s="4" t="s">
        <v>210</v>
      </c>
      <c r="K36" s="5" t="s">
        <v>23</v>
      </c>
      <c r="L36" s="4" t="s">
        <v>211</v>
      </c>
    </row>
    <row r="37" customFormat="false" ht="15" hidden="false" customHeight="true" outlineLevel="0" collapsed="false">
      <c r="A37" s="4" t="s">
        <v>212</v>
      </c>
      <c r="B37" s="4" t="s">
        <v>213</v>
      </c>
      <c r="C37" s="4" t="s">
        <v>154</v>
      </c>
      <c r="D37" s="4" t="s">
        <v>16</v>
      </c>
      <c r="E37" s="4" t="s">
        <v>158</v>
      </c>
      <c r="F37" s="4" t="s">
        <v>69</v>
      </c>
      <c r="G37" s="4" t="s">
        <v>214</v>
      </c>
      <c r="H37" s="4" t="s">
        <v>166</v>
      </c>
      <c r="I37" s="4" t="s">
        <v>167</v>
      </c>
      <c r="J37" s="4" t="s">
        <v>179</v>
      </c>
      <c r="K37" s="5" t="s">
        <v>23</v>
      </c>
      <c r="L37" s="4" t="s">
        <v>215</v>
      </c>
    </row>
    <row r="38" customFormat="false" ht="15" hidden="false" customHeight="true" outlineLevel="0" collapsed="false">
      <c r="A38" s="4" t="s">
        <v>216</v>
      </c>
      <c r="B38" s="4" t="s">
        <v>217</v>
      </c>
      <c r="C38" s="4" t="s">
        <v>68</v>
      </c>
      <c r="D38" s="4" t="s">
        <v>16</v>
      </c>
      <c r="E38" s="4" t="s">
        <v>158</v>
      </c>
      <c r="F38" s="4" t="s">
        <v>69</v>
      </c>
      <c r="G38" s="4" t="s">
        <v>186</v>
      </c>
      <c r="H38" s="4" t="s">
        <v>218</v>
      </c>
      <c r="I38" s="4" t="s">
        <v>41</v>
      </c>
      <c r="J38" s="4" t="s">
        <v>219</v>
      </c>
      <c r="K38" s="5" t="s">
        <v>23</v>
      </c>
      <c r="L38" s="4" t="s">
        <v>189</v>
      </c>
    </row>
    <row r="39" customFormat="false" ht="15" hidden="false" customHeight="true" outlineLevel="0" collapsed="false">
      <c r="A39" s="4" t="s">
        <v>220</v>
      </c>
      <c r="B39" s="4" t="s">
        <v>217</v>
      </c>
      <c r="C39" s="4" t="s">
        <v>68</v>
      </c>
      <c r="D39" s="4" t="s">
        <v>16</v>
      </c>
      <c r="E39" s="4" t="s">
        <v>158</v>
      </c>
      <c r="F39" s="4" t="s">
        <v>114</v>
      </c>
      <c r="G39" s="4" t="s">
        <v>221</v>
      </c>
      <c r="H39" s="4" t="s">
        <v>222</v>
      </c>
      <c r="I39" s="4" t="s">
        <v>223</v>
      </c>
      <c r="J39" s="4" t="s">
        <v>124</v>
      </c>
      <c r="K39" s="5" t="s">
        <v>23</v>
      </c>
      <c r="L39" s="4" t="s">
        <v>224</v>
      </c>
    </row>
    <row r="40" customFormat="false" ht="15" hidden="false" customHeight="true" outlineLevel="0" collapsed="false">
      <c r="A40" s="4" t="s">
        <v>225</v>
      </c>
      <c r="B40" s="4" t="s">
        <v>217</v>
      </c>
      <c r="C40" s="4" t="s">
        <v>68</v>
      </c>
      <c r="D40" s="4" t="s">
        <v>16</v>
      </c>
      <c r="E40" s="4" t="s">
        <v>158</v>
      </c>
      <c r="F40" s="4" t="s">
        <v>159</v>
      </c>
      <c r="G40" s="4" t="s">
        <v>209</v>
      </c>
      <c r="H40" s="4" t="s">
        <v>226</v>
      </c>
      <c r="I40" s="4" t="s">
        <v>227</v>
      </c>
      <c r="J40" s="4" t="s">
        <v>124</v>
      </c>
      <c r="K40" s="5" t="s">
        <v>23</v>
      </c>
      <c r="L40" s="4" t="s">
        <v>228</v>
      </c>
    </row>
    <row r="41" customFormat="false" ht="15" hidden="false" customHeight="true" outlineLevel="0" collapsed="false">
      <c r="A41" s="4" t="s">
        <v>229</v>
      </c>
      <c r="B41" s="4" t="s">
        <v>217</v>
      </c>
      <c r="C41" s="4" t="s">
        <v>68</v>
      </c>
      <c r="D41" s="4" t="s">
        <v>16</v>
      </c>
      <c r="E41" s="4" t="s">
        <v>230</v>
      </c>
      <c r="F41" s="4" t="s">
        <v>231</v>
      </c>
      <c r="G41" s="4" t="s">
        <v>209</v>
      </c>
      <c r="H41" s="4" t="s">
        <v>166</v>
      </c>
      <c r="I41" s="4" t="s">
        <v>232</v>
      </c>
      <c r="J41" s="4" t="s">
        <v>124</v>
      </c>
      <c r="K41" s="5" t="s">
        <v>23</v>
      </c>
      <c r="L41" s="4" t="s">
        <v>233</v>
      </c>
    </row>
    <row r="42" customFormat="false" ht="15" hidden="false" customHeight="true" outlineLevel="0" collapsed="false">
      <c r="A42" s="4" t="s">
        <v>234</v>
      </c>
      <c r="B42" s="4" t="s">
        <v>217</v>
      </c>
      <c r="C42" s="4" t="s">
        <v>100</v>
      </c>
      <c r="D42" s="4" t="s">
        <v>16</v>
      </c>
      <c r="E42" s="4" t="s">
        <v>158</v>
      </c>
      <c r="F42" s="4" t="s">
        <v>159</v>
      </c>
      <c r="G42" s="4" t="s">
        <v>235</v>
      </c>
      <c r="H42" s="4" t="s">
        <v>236</v>
      </c>
      <c r="I42" s="4" t="s">
        <v>41</v>
      </c>
      <c r="J42" s="4" t="s">
        <v>124</v>
      </c>
      <c r="K42" s="5" t="s">
        <v>23</v>
      </c>
      <c r="L42" s="4" t="s">
        <v>237</v>
      </c>
    </row>
    <row r="43" customFormat="false" ht="15" hidden="false" customHeight="true" outlineLevel="0" collapsed="false">
      <c r="A43" s="4" t="s">
        <v>238</v>
      </c>
      <c r="B43" s="4" t="s">
        <v>239</v>
      </c>
      <c r="C43" s="4" t="s">
        <v>132</v>
      </c>
      <c r="D43" s="4" t="s">
        <v>16</v>
      </c>
      <c r="E43" s="4" t="s">
        <v>158</v>
      </c>
      <c r="F43" s="4" t="s">
        <v>159</v>
      </c>
      <c r="G43" s="4" t="s">
        <v>240</v>
      </c>
      <c r="H43" s="4" t="s">
        <v>28</v>
      </c>
      <c r="I43" s="4" t="s">
        <v>41</v>
      </c>
      <c r="J43" s="4" t="s">
        <v>241</v>
      </c>
      <c r="K43" s="5" t="s">
        <v>23</v>
      </c>
      <c r="L43" s="4" t="s">
        <v>242</v>
      </c>
    </row>
    <row r="44" customFormat="false" ht="15" hidden="false" customHeight="true" outlineLevel="0" collapsed="false">
      <c r="A44" s="4" t="s">
        <v>243</v>
      </c>
      <c r="B44" s="4" t="s">
        <v>239</v>
      </c>
      <c r="C44" s="4" t="s">
        <v>68</v>
      </c>
      <c r="D44" s="4" t="s">
        <v>16</v>
      </c>
      <c r="E44" s="4" t="s">
        <v>139</v>
      </c>
      <c r="F44" s="4" t="s">
        <v>18</v>
      </c>
      <c r="G44" s="4" t="s">
        <v>244</v>
      </c>
      <c r="H44" s="4" t="s">
        <v>142</v>
      </c>
      <c r="I44" s="4" t="s">
        <v>245</v>
      </c>
      <c r="J44" s="4" t="s">
        <v>246</v>
      </c>
      <c r="K44" s="5" t="s">
        <v>23</v>
      </c>
      <c r="L44" s="4" t="s">
        <v>247</v>
      </c>
    </row>
    <row r="45" customFormat="false" ht="15" hidden="false" customHeight="true" outlineLevel="0" collapsed="false">
      <c r="A45" s="4" t="s">
        <v>248</v>
      </c>
      <c r="B45" s="4" t="s">
        <v>94</v>
      </c>
      <c r="C45" s="4" t="s">
        <v>132</v>
      </c>
      <c r="D45" s="4" t="s">
        <v>16</v>
      </c>
      <c r="E45" s="4" t="s">
        <v>249</v>
      </c>
      <c r="F45" s="4" t="s">
        <v>250</v>
      </c>
      <c r="G45" s="4" t="s">
        <v>251</v>
      </c>
      <c r="H45" s="4" t="s">
        <v>28</v>
      </c>
      <c r="I45" s="4" t="s">
        <v>252</v>
      </c>
      <c r="J45" s="4" t="s">
        <v>253</v>
      </c>
      <c r="K45" s="5" t="s">
        <v>23</v>
      </c>
      <c r="L45" s="4" t="s">
        <v>254</v>
      </c>
    </row>
    <row r="46" customFormat="false" ht="15" hidden="false" customHeight="true" outlineLevel="0" collapsed="false">
      <c r="A46" s="3" t="s">
        <v>255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4" t="s">
        <v>256</v>
      </c>
      <c r="B47" s="4" t="s">
        <v>257</v>
      </c>
      <c r="C47" s="4" t="s">
        <v>154</v>
      </c>
      <c r="D47" s="4" t="s">
        <v>53</v>
      </c>
      <c r="E47" s="4" t="s">
        <v>258</v>
      </c>
      <c r="F47" s="4" t="s">
        <v>46</v>
      </c>
      <c r="G47" s="4" t="s">
        <v>259</v>
      </c>
      <c r="H47" s="4" t="s">
        <v>260</v>
      </c>
      <c r="I47" s="4" t="s">
        <v>41</v>
      </c>
      <c r="J47" s="4" t="s">
        <v>261</v>
      </c>
      <c r="K47" s="6" t="s">
        <v>58</v>
      </c>
      <c r="L47" s="4" t="s">
        <v>262</v>
      </c>
    </row>
    <row r="48" customFormat="false" ht="21.75" hidden="false" customHeight="true" outlineLevel="0" collapsed="false">
      <c r="A48" s="4" t="s">
        <v>263</v>
      </c>
      <c r="B48" s="4" t="s">
        <v>217</v>
      </c>
      <c r="C48" s="4" t="s">
        <v>154</v>
      </c>
      <c r="D48" s="4" t="s">
        <v>53</v>
      </c>
      <c r="E48" s="4" t="s">
        <v>158</v>
      </c>
      <c r="F48" s="4" t="s">
        <v>69</v>
      </c>
      <c r="G48" s="4" t="s">
        <v>214</v>
      </c>
      <c r="H48" s="4" t="s">
        <v>264</v>
      </c>
      <c r="I48" s="4" t="s">
        <v>41</v>
      </c>
      <c r="J48" s="4" t="s">
        <v>265</v>
      </c>
      <c r="K48" s="5" t="s">
        <v>23</v>
      </c>
      <c r="L48" s="4" t="s">
        <v>266</v>
      </c>
    </row>
    <row r="49" customFormat="false" ht="15" hidden="false" customHeight="true" outlineLevel="0" collapsed="false">
      <c r="A49" s="4" t="s">
        <v>267</v>
      </c>
      <c r="B49" s="4" t="s">
        <v>164</v>
      </c>
      <c r="C49" s="4" t="s">
        <v>171</v>
      </c>
      <c r="D49" s="4" t="s">
        <v>53</v>
      </c>
      <c r="E49" s="4" t="s">
        <v>158</v>
      </c>
      <c r="F49" s="4" t="s">
        <v>69</v>
      </c>
      <c r="G49" s="4" t="s">
        <v>268</v>
      </c>
      <c r="H49" s="4" t="s">
        <v>269</v>
      </c>
      <c r="I49" s="4" t="s">
        <v>41</v>
      </c>
      <c r="J49" s="4" t="s">
        <v>270</v>
      </c>
      <c r="K49" s="5" t="s">
        <v>23</v>
      </c>
      <c r="L49" s="4" t="s">
        <v>271</v>
      </c>
    </row>
    <row r="50" customFormat="false" ht="15" hidden="false" customHeight="true" outlineLevel="0" collapsed="false">
      <c r="A50" s="4" t="s">
        <v>272</v>
      </c>
      <c r="B50" s="4" t="s">
        <v>217</v>
      </c>
      <c r="C50" s="4" t="s">
        <v>273</v>
      </c>
      <c r="D50" s="4" t="s">
        <v>274</v>
      </c>
      <c r="E50" s="4" t="s">
        <v>158</v>
      </c>
      <c r="F50" s="4" t="s">
        <v>69</v>
      </c>
      <c r="G50" s="4" t="s">
        <v>275</v>
      </c>
      <c r="H50" s="4" t="s">
        <v>264</v>
      </c>
      <c r="I50" s="4" t="s">
        <v>41</v>
      </c>
      <c r="J50" s="4" t="s">
        <v>270</v>
      </c>
      <c r="K50" s="5" t="s">
        <v>23</v>
      </c>
      <c r="L50" s="4" t="s">
        <v>276</v>
      </c>
    </row>
    <row r="51" customFormat="false" ht="15" hidden="false" customHeight="true" outlineLevel="0" collapsed="false">
      <c r="A51" s="4" t="s">
        <v>277</v>
      </c>
      <c r="B51" s="4" t="s">
        <v>217</v>
      </c>
      <c r="C51" s="4" t="s">
        <v>201</v>
      </c>
      <c r="D51" s="4" t="s">
        <v>274</v>
      </c>
      <c r="E51" s="4" t="s">
        <v>278</v>
      </c>
      <c r="F51" s="4" t="s">
        <v>279</v>
      </c>
      <c r="G51" s="4" t="s">
        <v>280</v>
      </c>
      <c r="H51" s="4" t="s">
        <v>281</v>
      </c>
      <c r="I51" s="4" t="s">
        <v>41</v>
      </c>
      <c r="J51" s="4" t="s">
        <v>282</v>
      </c>
      <c r="K51" s="5" t="s">
        <v>23</v>
      </c>
      <c r="L51" s="4" t="s">
        <v>283</v>
      </c>
    </row>
    <row r="52" customFormat="false" ht="15" hidden="false" customHeight="true" outlineLevel="0" collapsed="false">
      <c r="A52" s="4" t="s">
        <v>284</v>
      </c>
      <c r="B52" s="4" t="s">
        <v>217</v>
      </c>
      <c r="C52" s="4" t="s">
        <v>285</v>
      </c>
      <c r="D52" s="4" t="s">
        <v>274</v>
      </c>
      <c r="E52" s="4" t="s">
        <v>286</v>
      </c>
      <c r="F52" s="4" t="s">
        <v>287</v>
      </c>
      <c r="G52" s="4" t="s">
        <v>288</v>
      </c>
      <c r="H52" s="4" t="s">
        <v>289</v>
      </c>
      <c r="I52" s="4" t="s">
        <v>41</v>
      </c>
      <c r="J52" s="4" t="s">
        <v>290</v>
      </c>
      <c r="K52" s="5" t="s">
        <v>23</v>
      </c>
      <c r="L52" s="4" t="s">
        <v>291</v>
      </c>
    </row>
    <row r="53" customFormat="false" ht="21.75" hidden="false" customHeight="true" outlineLevel="0" collapsed="false">
      <c r="A53" s="4" t="s">
        <v>292</v>
      </c>
      <c r="B53" s="4" t="s">
        <v>257</v>
      </c>
      <c r="C53" s="4" t="s">
        <v>293</v>
      </c>
      <c r="D53" s="4" t="s">
        <v>53</v>
      </c>
      <c r="E53" s="4" t="s">
        <v>294</v>
      </c>
      <c r="F53" s="4" t="s">
        <v>295</v>
      </c>
      <c r="G53" s="4" t="s">
        <v>296</v>
      </c>
      <c r="H53" s="4" t="s">
        <v>297</v>
      </c>
      <c r="I53" s="4" t="s">
        <v>41</v>
      </c>
      <c r="J53" s="4" t="s">
        <v>298</v>
      </c>
      <c r="K53" s="5" t="s">
        <v>23</v>
      </c>
      <c r="L53" s="4" t="s">
        <v>299</v>
      </c>
    </row>
    <row r="54" customFormat="false" ht="21.75" hidden="false" customHeight="true" outlineLevel="0" collapsed="false">
      <c r="A54" s="4" t="s">
        <v>300</v>
      </c>
      <c r="B54" s="4" t="s">
        <v>257</v>
      </c>
      <c r="C54" s="4" t="s">
        <v>273</v>
      </c>
      <c r="D54" s="4" t="s">
        <v>53</v>
      </c>
      <c r="E54" s="4" t="s">
        <v>301</v>
      </c>
      <c r="F54" s="4" t="s">
        <v>69</v>
      </c>
      <c r="G54" s="4" t="s">
        <v>302</v>
      </c>
      <c r="H54" s="4" t="s">
        <v>303</v>
      </c>
      <c r="I54" s="4" t="s">
        <v>304</v>
      </c>
      <c r="J54" s="4" t="s">
        <v>305</v>
      </c>
      <c r="K54" s="5" t="s">
        <v>23</v>
      </c>
      <c r="L54" s="4" t="s">
        <v>306</v>
      </c>
    </row>
    <row r="55" customFormat="false" ht="15" hidden="false" customHeight="true" outlineLevel="0" collapsed="false">
      <c r="A55" s="4" t="s">
        <v>307</v>
      </c>
      <c r="B55" s="4" t="s">
        <v>14</v>
      </c>
      <c r="C55" s="4" t="s">
        <v>201</v>
      </c>
      <c r="D55" s="4" t="s">
        <v>274</v>
      </c>
      <c r="E55" s="4" t="s">
        <v>308</v>
      </c>
      <c r="F55" s="4" t="s">
        <v>159</v>
      </c>
      <c r="G55" s="4" t="s">
        <v>309</v>
      </c>
      <c r="H55" s="4" t="s">
        <v>310</v>
      </c>
      <c r="I55" s="4" t="s">
        <v>41</v>
      </c>
      <c r="J55" s="4" t="s">
        <v>124</v>
      </c>
      <c r="K55" s="5" t="s">
        <v>23</v>
      </c>
      <c r="L55" s="4" t="s">
        <v>311</v>
      </c>
    </row>
    <row r="56" customFormat="false" ht="15" hidden="false" customHeight="true" outlineLevel="0" collapsed="false">
      <c r="A56" s="4" t="s">
        <v>312</v>
      </c>
      <c r="B56" s="4" t="s">
        <v>257</v>
      </c>
      <c r="C56" s="4" t="s">
        <v>313</v>
      </c>
      <c r="D56" s="4" t="s">
        <v>53</v>
      </c>
      <c r="E56" s="4" t="s">
        <v>314</v>
      </c>
      <c r="F56" s="4" t="s">
        <v>315</v>
      </c>
      <c r="G56" s="4" t="s">
        <v>316</v>
      </c>
      <c r="H56" s="4" t="s">
        <v>317</v>
      </c>
      <c r="I56" s="4" t="s">
        <v>41</v>
      </c>
      <c r="J56" s="4" t="s">
        <v>318</v>
      </c>
      <c r="K56" s="5" t="s">
        <v>23</v>
      </c>
      <c r="L56" s="4" t="s">
        <v>319</v>
      </c>
    </row>
    <row r="57" customFormat="false" ht="15" hidden="false" customHeight="true" outlineLevel="0" collapsed="false">
      <c r="A57" s="4" t="s">
        <v>320</v>
      </c>
      <c r="B57" s="4" t="s">
        <v>217</v>
      </c>
      <c r="C57" s="4" t="s">
        <v>273</v>
      </c>
      <c r="D57" s="4" t="s">
        <v>53</v>
      </c>
      <c r="E57" s="4" t="s">
        <v>321</v>
      </c>
      <c r="F57" s="4" t="s">
        <v>322</v>
      </c>
      <c r="G57" s="4" t="s">
        <v>323</v>
      </c>
      <c r="H57" s="4" t="s">
        <v>324</v>
      </c>
      <c r="I57" s="4" t="s">
        <v>325</v>
      </c>
      <c r="J57" s="4" t="s">
        <v>326</v>
      </c>
      <c r="K57" s="5" t="s">
        <v>23</v>
      </c>
      <c r="L57" s="4" t="s">
        <v>327</v>
      </c>
    </row>
    <row r="58" customFormat="false" ht="21.75" hidden="false" customHeight="true" outlineLevel="0" collapsed="false">
      <c r="A58" s="4" t="s">
        <v>328</v>
      </c>
      <c r="B58" s="4" t="s">
        <v>217</v>
      </c>
      <c r="C58" s="4" t="s">
        <v>329</v>
      </c>
      <c r="D58" s="4" t="s">
        <v>330</v>
      </c>
      <c r="E58" s="4" t="s">
        <v>331</v>
      </c>
      <c r="F58" s="4" t="s">
        <v>332</v>
      </c>
      <c r="G58" s="4" t="s">
        <v>333</v>
      </c>
      <c r="H58" s="4" t="s">
        <v>334</v>
      </c>
      <c r="I58" s="4" t="s">
        <v>41</v>
      </c>
      <c r="J58" s="4" t="s">
        <v>335</v>
      </c>
      <c r="K58" s="5" t="s">
        <v>23</v>
      </c>
      <c r="L58" s="4" t="s">
        <v>336</v>
      </c>
    </row>
    <row r="59" customFormat="false" ht="21.75" hidden="false" customHeight="true" outlineLevel="0" collapsed="false">
      <c r="A59" s="4" t="s">
        <v>337</v>
      </c>
      <c r="B59" s="4" t="s">
        <v>217</v>
      </c>
      <c r="C59" s="4" t="s">
        <v>338</v>
      </c>
      <c r="D59" s="4" t="s">
        <v>330</v>
      </c>
      <c r="E59" s="4" t="s">
        <v>339</v>
      </c>
      <c r="F59" s="4" t="s">
        <v>340</v>
      </c>
      <c r="G59" s="4" t="s">
        <v>341</v>
      </c>
      <c r="H59" s="4" t="s">
        <v>342</v>
      </c>
      <c r="I59" s="4" t="s">
        <v>41</v>
      </c>
      <c r="J59" s="4" t="s">
        <v>343</v>
      </c>
      <c r="K59" s="5" t="s">
        <v>23</v>
      </c>
      <c r="L59" s="4" t="s">
        <v>344</v>
      </c>
    </row>
    <row r="60" customFormat="false" ht="21.75" hidden="false" customHeight="true" outlineLevel="0" collapsed="false">
      <c r="A60" s="4" t="s">
        <v>345</v>
      </c>
      <c r="B60" s="4" t="s">
        <v>217</v>
      </c>
      <c r="C60" s="4" t="s">
        <v>201</v>
      </c>
      <c r="D60" s="4" t="s">
        <v>53</v>
      </c>
      <c r="E60" s="4" t="s">
        <v>346</v>
      </c>
      <c r="F60" s="4" t="s">
        <v>315</v>
      </c>
      <c r="G60" s="4" t="s">
        <v>347</v>
      </c>
      <c r="H60" s="4" t="s">
        <v>348</v>
      </c>
      <c r="I60" s="4" t="s">
        <v>349</v>
      </c>
      <c r="J60" s="4" t="s">
        <v>350</v>
      </c>
      <c r="K60" s="5" t="s">
        <v>23</v>
      </c>
      <c r="L60" s="4" t="s">
        <v>351</v>
      </c>
    </row>
    <row r="61" customFormat="false" ht="15" hidden="false" customHeight="true" outlineLevel="0" collapsed="false">
      <c r="A61" s="3" t="s">
        <v>352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true" outlineLevel="0" collapsed="false">
      <c r="A62" s="4" t="s">
        <v>353</v>
      </c>
      <c r="B62" s="4" t="s">
        <v>127</v>
      </c>
      <c r="C62" s="4" t="s">
        <v>171</v>
      </c>
      <c r="D62" s="4" t="s">
        <v>16</v>
      </c>
      <c r="E62" s="4" t="s">
        <v>321</v>
      </c>
      <c r="F62" s="4" t="s">
        <v>354</v>
      </c>
      <c r="G62" s="4" t="s">
        <v>355</v>
      </c>
      <c r="H62" s="4" t="s">
        <v>356</v>
      </c>
      <c r="I62" s="4" t="s">
        <v>357</v>
      </c>
      <c r="J62" s="4" t="s">
        <v>358</v>
      </c>
      <c r="K62" s="6" t="s">
        <v>58</v>
      </c>
      <c r="L62" s="4" t="s">
        <v>359</v>
      </c>
    </row>
    <row r="63" customFormat="false" ht="15" hidden="false" customHeight="true" outlineLevel="0" collapsed="false">
      <c r="A63" s="4" t="s">
        <v>360</v>
      </c>
      <c r="B63" s="4" t="s">
        <v>94</v>
      </c>
      <c r="C63" s="4" t="s">
        <v>361</v>
      </c>
      <c r="D63" s="4" t="s">
        <v>16</v>
      </c>
      <c r="E63" s="4" t="s">
        <v>362</v>
      </c>
      <c r="F63" s="4" t="s">
        <v>363</v>
      </c>
      <c r="G63" s="4" t="s">
        <v>364</v>
      </c>
      <c r="H63" s="4" t="s">
        <v>356</v>
      </c>
      <c r="I63" s="4" t="s">
        <v>365</v>
      </c>
      <c r="J63" s="4" t="s">
        <v>366</v>
      </c>
      <c r="K63" s="5" t="s">
        <v>23</v>
      </c>
      <c r="L63" s="4" t="s">
        <v>367</v>
      </c>
    </row>
    <row r="64" customFormat="false" ht="15" hidden="false" customHeight="true" outlineLevel="0" collapsed="false">
      <c r="A64" s="4" t="s">
        <v>368</v>
      </c>
      <c r="B64" s="4" t="s">
        <v>94</v>
      </c>
      <c r="C64" s="4" t="s">
        <v>369</v>
      </c>
      <c r="D64" s="4" t="s">
        <v>53</v>
      </c>
      <c r="E64" s="4" t="s">
        <v>370</v>
      </c>
      <c r="F64" s="4" t="s">
        <v>371</v>
      </c>
      <c r="G64" s="4" t="s">
        <v>364</v>
      </c>
      <c r="H64" s="4" t="s">
        <v>356</v>
      </c>
      <c r="I64" s="4" t="s">
        <v>372</v>
      </c>
      <c r="J64" s="4" t="s">
        <v>373</v>
      </c>
      <c r="K64" s="5" t="s">
        <v>23</v>
      </c>
      <c r="L64" s="4" t="s">
        <v>374</v>
      </c>
    </row>
    <row r="65" customFormat="false" ht="15" hidden="false" customHeight="true" outlineLevel="0" collapsed="false">
      <c r="A65" s="4" t="s">
        <v>375</v>
      </c>
      <c r="B65" s="4" t="s">
        <v>14</v>
      </c>
      <c r="C65" s="4" t="s">
        <v>171</v>
      </c>
      <c r="D65" s="4" t="s">
        <v>16</v>
      </c>
      <c r="E65" s="4" t="s">
        <v>321</v>
      </c>
      <c r="F65" s="4" t="s">
        <v>376</v>
      </c>
      <c r="G65" s="4" t="s">
        <v>377</v>
      </c>
      <c r="H65" s="4" t="s">
        <v>378</v>
      </c>
      <c r="I65" s="4" t="s">
        <v>379</v>
      </c>
      <c r="J65" s="4" t="s">
        <v>380</v>
      </c>
      <c r="K65" s="5" t="s">
        <v>23</v>
      </c>
      <c r="L65" s="4" t="s">
        <v>381</v>
      </c>
    </row>
    <row r="66" customFormat="false" ht="15" hidden="false" customHeight="true" outlineLevel="0" collapsed="false">
      <c r="A66" s="4" t="s">
        <v>382</v>
      </c>
      <c r="B66" s="4" t="s">
        <v>14</v>
      </c>
      <c r="C66" s="4" t="s">
        <v>273</v>
      </c>
      <c r="D66" s="4" t="s">
        <v>16</v>
      </c>
      <c r="E66" s="4" t="s">
        <v>383</v>
      </c>
      <c r="F66" s="4" t="s">
        <v>384</v>
      </c>
      <c r="G66" s="4" t="s">
        <v>385</v>
      </c>
      <c r="H66" s="4" t="s">
        <v>378</v>
      </c>
      <c r="I66" s="4" t="s">
        <v>386</v>
      </c>
      <c r="J66" s="4" t="s">
        <v>387</v>
      </c>
      <c r="K66" s="5" t="s">
        <v>23</v>
      </c>
      <c r="L66" s="4" t="s">
        <v>388</v>
      </c>
    </row>
    <row r="67" customFormat="false" ht="15" hidden="false" customHeight="true" outlineLevel="0" collapsed="false">
      <c r="A67" s="4" t="s">
        <v>389</v>
      </c>
      <c r="B67" s="4" t="s">
        <v>14</v>
      </c>
      <c r="C67" s="4" t="s">
        <v>361</v>
      </c>
      <c r="D67" s="4" t="s">
        <v>16</v>
      </c>
      <c r="E67" s="4" t="s">
        <v>383</v>
      </c>
      <c r="F67" s="4" t="s">
        <v>390</v>
      </c>
      <c r="G67" s="4" t="s">
        <v>391</v>
      </c>
      <c r="H67" s="4" t="s">
        <v>392</v>
      </c>
      <c r="I67" s="4" t="s">
        <v>393</v>
      </c>
      <c r="J67" s="4" t="s">
        <v>394</v>
      </c>
      <c r="K67" s="5" t="s">
        <v>23</v>
      </c>
      <c r="L67" s="4" t="s">
        <v>395</v>
      </c>
    </row>
    <row r="68" customFormat="false" ht="15" hidden="false" customHeight="true" outlineLevel="0" collapsed="false">
      <c r="A68" s="4" t="s">
        <v>396</v>
      </c>
      <c r="B68" s="4" t="s">
        <v>217</v>
      </c>
      <c r="C68" s="4" t="s">
        <v>313</v>
      </c>
      <c r="D68" s="4" t="s">
        <v>16</v>
      </c>
      <c r="E68" s="4" t="s">
        <v>321</v>
      </c>
      <c r="F68" s="4" t="s">
        <v>397</v>
      </c>
      <c r="G68" s="4" t="s">
        <v>398</v>
      </c>
      <c r="H68" s="4" t="s">
        <v>399</v>
      </c>
      <c r="I68" s="4" t="s">
        <v>41</v>
      </c>
      <c r="J68" s="4" t="s">
        <v>400</v>
      </c>
      <c r="K68" s="5" t="s">
        <v>23</v>
      </c>
      <c r="L68" s="4" t="s">
        <v>401</v>
      </c>
    </row>
    <row r="69" customFormat="false" ht="15" hidden="false" customHeight="true" outlineLevel="0" collapsed="false">
      <c r="A69" s="4" t="s">
        <v>402</v>
      </c>
      <c r="B69" s="4" t="s">
        <v>217</v>
      </c>
      <c r="C69" s="4" t="s">
        <v>68</v>
      </c>
      <c r="D69" s="4" t="s">
        <v>16</v>
      </c>
      <c r="E69" s="4" t="s">
        <v>403</v>
      </c>
      <c r="F69" s="4" t="s">
        <v>404</v>
      </c>
      <c r="G69" s="4" t="s">
        <v>405</v>
      </c>
      <c r="H69" s="4" t="s">
        <v>406</v>
      </c>
      <c r="I69" s="4" t="s">
        <v>41</v>
      </c>
      <c r="J69" s="4" t="s">
        <v>407</v>
      </c>
      <c r="K69" s="5" t="s">
        <v>23</v>
      </c>
      <c r="L69" s="4" t="s">
        <v>408</v>
      </c>
    </row>
    <row r="70" customFormat="false" ht="15" hidden="false" customHeight="true" outlineLevel="0" collapsed="false">
      <c r="A70" s="4" t="s">
        <v>409</v>
      </c>
      <c r="B70" s="4" t="s">
        <v>217</v>
      </c>
      <c r="C70" s="4" t="s">
        <v>201</v>
      </c>
      <c r="D70" s="4" t="s">
        <v>16</v>
      </c>
      <c r="E70" s="4" t="s">
        <v>410</v>
      </c>
      <c r="F70" s="4" t="s">
        <v>411</v>
      </c>
      <c r="G70" s="4" t="s">
        <v>412</v>
      </c>
      <c r="H70" s="4" t="s">
        <v>413</v>
      </c>
      <c r="I70" s="4" t="s">
        <v>41</v>
      </c>
      <c r="J70" s="4" t="s">
        <v>414</v>
      </c>
      <c r="K70" s="5" t="s">
        <v>23</v>
      </c>
      <c r="L70" s="4" t="s">
        <v>415</v>
      </c>
    </row>
    <row r="71" customFormat="false" ht="15" hidden="false" customHeight="true" outlineLevel="0" collapsed="false">
      <c r="A71" s="7" t="s">
        <v>416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customFormat="false" ht="15" hidden="false" customHeight="true" outlineLevel="0" collapsed="false">
      <c r="A72" s="4" t="s">
        <v>402</v>
      </c>
      <c r="B72" s="4" t="s">
        <v>217</v>
      </c>
      <c r="C72" s="4" t="s">
        <v>68</v>
      </c>
      <c r="D72" s="4" t="s">
        <v>16</v>
      </c>
      <c r="E72" s="4" t="s">
        <v>417</v>
      </c>
      <c r="F72" s="4" t="s">
        <v>404</v>
      </c>
      <c r="G72" s="4" t="s">
        <v>405</v>
      </c>
      <c r="H72" s="4" t="s">
        <v>418</v>
      </c>
      <c r="I72" s="4" t="s">
        <v>41</v>
      </c>
      <c r="J72" s="4" t="s">
        <v>407</v>
      </c>
      <c r="K72" s="5" t="s">
        <v>23</v>
      </c>
      <c r="L72" s="4" t="s">
        <v>419</v>
      </c>
    </row>
    <row r="73" customFormat="false" ht="21.75" hidden="false" customHeight="true" outlineLevel="0" collapsed="false">
      <c r="A73" s="4" t="s">
        <v>409</v>
      </c>
      <c r="B73" s="4" t="s">
        <v>217</v>
      </c>
      <c r="C73" s="4" t="s">
        <v>201</v>
      </c>
      <c r="D73" s="4" t="s">
        <v>16</v>
      </c>
      <c r="E73" s="4" t="s">
        <v>420</v>
      </c>
      <c r="F73" s="4" t="s">
        <v>411</v>
      </c>
      <c r="G73" s="4" t="s">
        <v>412</v>
      </c>
      <c r="H73" s="4" t="s">
        <v>413</v>
      </c>
      <c r="I73" s="4" t="s">
        <v>41</v>
      </c>
      <c r="J73" s="4" t="s">
        <v>414</v>
      </c>
      <c r="K73" s="5" t="s">
        <v>23</v>
      </c>
      <c r="L73" s="4" t="s">
        <v>421</v>
      </c>
    </row>
    <row r="74" customFormat="false" ht="15" hidden="false" customHeight="true" outlineLevel="0" collapsed="false">
      <c r="A74" s="4" t="s">
        <v>422</v>
      </c>
      <c r="B74" s="4" t="s">
        <v>14</v>
      </c>
      <c r="C74" s="4" t="s">
        <v>132</v>
      </c>
      <c r="D74" s="4" t="s">
        <v>16</v>
      </c>
      <c r="E74" s="4" t="s">
        <v>423</v>
      </c>
      <c r="F74" s="4" t="s">
        <v>424</v>
      </c>
      <c r="G74" s="4" t="s">
        <v>425</v>
      </c>
      <c r="H74" s="4" t="s">
        <v>426</v>
      </c>
      <c r="I74" s="4" t="s">
        <v>41</v>
      </c>
      <c r="J74" s="4" t="s">
        <v>427</v>
      </c>
      <c r="K74" s="5" t="s">
        <v>23</v>
      </c>
      <c r="L74" s="4" t="s">
        <v>428</v>
      </c>
    </row>
    <row r="75" customFormat="false" ht="15" hidden="false" customHeight="true" outlineLevel="0" collapsed="false">
      <c r="A75" s="4" t="s">
        <v>429</v>
      </c>
      <c r="B75" s="4" t="s">
        <v>14</v>
      </c>
      <c r="C75" s="4" t="s">
        <v>100</v>
      </c>
      <c r="D75" s="4" t="s">
        <v>16</v>
      </c>
      <c r="E75" s="4" t="s">
        <v>430</v>
      </c>
      <c r="F75" s="4" t="s">
        <v>431</v>
      </c>
      <c r="G75" s="4" t="s">
        <v>432</v>
      </c>
      <c r="H75" s="4" t="s">
        <v>433</v>
      </c>
      <c r="I75" s="4" t="s">
        <v>434</v>
      </c>
      <c r="J75" s="4" t="s">
        <v>435</v>
      </c>
      <c r="K75" s="5" t="s">
        <v>23</v>
      </c>
      <c r="L75" s="4" t="s">
        <v>436</v>
      </c>
    </row>
    <row r="76" customFormat="false" ht="15" hidden="false" customHeight="true" outlineLevel="0" collapsed="false">
      <c r="A76" s="4" t="s">
        <v>437</v>
      </c>
      <c r="B76" s="4" t="s">
        <v>217</v>
      </c>
      <c r="C76" s="4" t="s">
        <v>132</v>
      </c>
      <c r="D76" s="4" t="s">
        <v>16</v>
      </c>
      <c r="E76" s="4" t="s">
        <v>158</v>
      </c>
      <c r="F76" s="4" t="s">
        <v>159</v>
      </c>
      <c r="G76" s="4" t="s">
        <v>209</v>
      </c>
      <c r="H76" s="4" t="s">
        <v>438</v>
      </c>
      <c r="I76" s="4" t="s">
        <v>227</v>
      </c>
      <c r="J76" s="4" t="s">
        <v>124</v>
      </c>
      <c r="K76" s="5" t="s">
        <v>23</v>
      </c>
      <c r="L76" s="4" t="s">
        <v>439</v>
      </c>
    </row>
    <row r="77" customFormat="false" ht="15" hidden="false" customHeight="true" outlineLevel="0" collapsed="false">
      <c r="A77" s="4" t="s">
        <v>440</v>
      </c>
      <c r="B77" s="4" t="s">
        <v>217</v>
      </c>
      <c r="C77" s="4" t="s">
        <v>369</v>
      </c>
      <c r="D77" s="4" t="s">
        <v>53</v>
      </c>
      <c r="E77" s="4" t="s">
        <v>441</v>
      </c>
      <c r="F77" s="4" t="s">
        <v>390</v>
      </c>
      <c r="G77" s="4" t="s">
        <v>412</v>
      </c>
      <c r="H77" s="4" t="s">
        <v>413</v>
      </c>
      <c r="I77" s="4" t="s">
        <v>41</v>
      </c>
      <c r="J77" s="4" t="s">
        <v>373</v>
      </c>
      <c r="K77" s="5" t="s">
        <v>23</v>
      </c>
      <c r="L77" s="4" t="s">
        <v>442</v>
      </c>
    </row>
    <row r="78" customFormat="false" ht="15" hidden="false" customHeight="true" outlineLevel="0" collapsed="false">
      <c r="A78" s="3" t="s">
        <v>443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</row>
    <row r="79" customFormat="false" ht="15" hidden="false" customHeight="true" outlineLevel="0" collapsed="false">
      <c r="A79" s="4" t="s">
        <v>444</v>
      </c>
      <c r="B79" s="4" t="s">
        <v>217</v>
      </c>
      <c r="C79" s="4" t="s">
        <v>445</v>
      </c>
      <c r="D79" s="4" t="s">
        <v>274</v>
      </c>
      <c r="E79" s="4" t="s">
        <v>446</v>
      </c>
      <c r="F79" s="4" t="s">
        <v>447</v>
      </c>
      <c r="G79" s="4" t="s">
        <v>448</v>
      </c>
      <c r="H79" s="4" t="s">
        <v>449</v>
      </c>
      <c r="I79" s="4" t="s">
        <v>450</v>
      </c>
      <c r="J79" s="4" t="s">
        <v>451</v>
      </c>
      <c r="K79" s="5" t="s">
        <v>23</v>
      </c>
      <c r="L79" s="4" t="s">
        <v>452</v>
      </c>
    </row>
    <row r="80" customFormat="false" ht="15" hidden="false" customHeight="true" outlineLevel="0" collapsed="false">
      <c r="A80" s="4" t="s">
        <v>453</v>
      </c>
      <c r="B80" s="4" t="s">
        <v>217</v>
      </c>
      <c r="C80" s="4" t="s">
        <v>285</v>
      </c>
      <c r="D80" s="4" t="s">
        <v>274</v>
      </c>
      <c r="E80" s="4" t="s">
        <v>454</v>
      </c>
      <c r="F80" s="4" t="s">
        <v>455</v>
      </c>
      <c r="G80" s="4" t="s">
        <v>209</v>
      </c>
      <c r="H80" s="4" t="s">
        <v>456</v>
      </c>
      <c r="I80" s="4" t="s">
        <v>457</v>
      </c>
      <c r="J80" s="4" t="s">
        <v>458</v>
      </c>
      <c r="K80" s="5" t="s">
        <v>23</v>
      </c>
      <c r="L80" s="4" t="s">
        <v>459</v>
      </c>
    </row>
    <row r="81" customFormat="false" ht="15" hidden="false" customHeight="false" outlineLevel="0" collapsed="false">
      <c r="A81" s="4" t="s">
        <v>460</v>
      </c>
      <c r="B81" s="4" t="s">
        <v>217</v>
      </c>
      <c r="C81" s="4" t="s">
        <v>461</v>
      </c>
      <c r="D81" s="4" t="s">
        <v>274</v>
      </c>
      <c r="E81" s="4" t="s">
        <v>462</v>
      </c>
      <c r="F81" s="4" t="s">
        <v>463</v>
      </c>
      <c r="G81" s="4" t="s">
        <v>209</v>
      </c>
      <c r="H81" s="4" t="s">
        <v>464</v>
      </c>
      <c r="I81" s="4" t="s">
        <v>41</v>
      </c>
      <c r="J81" s="4" t="s">
        <v>136</v>
      </c>
      <c r="K81" s="5" t="s">
        <v>23</v>
      </c>
      <c r="L81" s="4" t="s">
        <v>465</v>
      </c>
    </row>
    <row r="82" customFormat="false" ht="15" hidden="false" customHeight="false" outlineLevel="0" collapsed="false">
      <c r="A82" s="4" t="s">
        <v>466</v>
      </c>
      <c r="B82" s="4" t="s">
        <v>467</v>
      </c>
      <c r="C82" s="4" t="s">
        <v>361</v>
      </c>
      <c r="D82" s="4" t="s">
        <v>274</v>
      </c>
      <c r="E82" s="4" t="s">
        <v>308</v>
      </c>
      <c r="F82" s="4" t="s">
        <v>159</v>
      </c>
      <c r="G82" s="4" t="s">
        <v>468</v>
      </c>
      <c r="H82" s="4" t="s">
        <v>469</v>
      </c>
      <c r="I82" s="4" t="s">
        <v>41</v>
      </c>
      <c r="J82" s="4" t="s">
        <v>470</v>
      </c>
      <c r="K82" s="5" t="s">
        <v>23</v>
      </c>
      <c r="L82" s="4" t="s">
        <v>471</v>
      </c>
    </row>
    <row r="83" customFormat="false" ht="15" hidden="false" customHeight="false" outlineLevel="0" collapsed="false">
      <c r="A83" s="4" t="s">
        <v>472</v>
      </c>
      <c r="B83" s="4" t="s">
        <v>217</v>
      </c>
      <c r="C83" s="4" t="s">
        <v>132</v>
      </c>
      <c r="D83" s="4" t="s">
        <v>274</v>
      </c>
      <c r="E83" s="4" t="s">
        <v>473</v>
      </c>
      <c r="F83" s="4" t="s">
        <v>474</v>
      </c>
      <c r="G83" s="4" t="s">
        <v>475</v>
      </c>
      <c r="H83" s="4" t="s">
        <v>476</v>
      </c>
      <c r="I83" s="4" t="s">
        <v>41</v>
      </c>
      <c r="J83" s="4" t="s">
        <v>477</v>
      </c>
      <c r="K83" s="5" t="s">
        <v>23</v>
      </c>
      <c r="L83" s="4" t="s">
        <v>478</v>
      </c>
    </row>
    <row r="84" customFormat="false" ht="15" hidden="false" customHeight="false" outlineLevel="0" collapsed="false">
      <c r="A84" s="4" t="s">
        <v>479</v>
      </c>
      <c r="B84" s="4" t="s">
        <v>480</v>
      </c>
      <c r="C84" s="4" t="s">
        <v>273</v>
      </c>
      <c r="D84" s="4" t="s">
        <v>274</v>
      </c>
      <c r="E84" s="4" t="s">
        <v>481</v>
      </c>
      <c r="F84" s="4" t="s">
        <v>482</v>
      </c>
      <c r="G84" s="4" t="s">
        <v>468</v>
      </c>
      <c r="H84" s="4" t="s">
        <v>209</v>
      </c>
      <c r="I84" s="4" t="s">
        <v>41</v>
      </c>
      <c r="J84" s="4" t="s">
        <v>76</v>
      </c>
      <c r="K84" s="5" t="s">
        <v>23</v>
      </c>
      <c r="L84" s="4" t="s">
        <v>483</v>
      </c>
    </row>
    <row r="85" customFormat="false" ht="15" hidden="false" customHeight="false" outlineLevel="0" collapsed="false">
      <c r="A85" s="4" t="s">
        <v>484</v>
      </c>
      <c r="B85" s="4" t="s">
        <v>14</v>
      </c>
      <c r="C85" s="4" t="s">
        <v>95</v>
      </c>
      <c r="D85" s="4" t="s">
        <v>16</v>
      </c>
      <c r="E85" s="4" t="s">
        <v>39</v>
      </c>
      <c r="F85" s="4" t="s">
        <v>485</v>
      </c>
      <c r="G85" s="4" t="s">
        <v>34</v>
      </c>
      <c r="H85" s="4" t="s">
        <v>28</v>
      </c>
      <c r="I85" s="4" t="s">
        <v>41</v>
      </c>
      <c r="J85" s="4" t="s">
        <v>115</v>
      </c>
      <c r="K85" s="5" t="s">
        <v>23</v>
      </c>
      <c r="L85" s="4" t="s">
        <v>486</v>
      </c>
    </row>
    <row r="86" customFormat="false" ht="15" hidden="false" customHeight="false" outlineLevel="0" collapsed="false">
      <c r="A86" s="4" t="s">
        <v>487</v>
      </c>
      <c r="B86" s="4" t="s">
        <v>14</v>
      </c>
      <c r="C86" s="4" t="s">
        <v>171</v>
      </c>
      <c r="D86" s="4" t="s">
        <v>16</v>
      </c>
      <c r="E86" s="4" t="s">
        <v>488</v>
      </c>
      <c r="F86" s="4" t="s">
        <v>489</v>
      </c>
      <c r="G86" s="4" t="s">
        <v>490</v>
      </c>
      <c r="H86" s="4" t="s">
        <v>491</v>
      </c>
      <c r="I86" s="4" t="s">
        <v>492</v>
      </c>
      <c r="J86" s="4" t="s">
        <v>253</v>
      </c>
      <c r="K86" s="5" t="s">
        <v>23</v>
      </c>
      <c r="L86" s="4" t="s">
        <v>493</v>
      </c>
    </row>
    <row r="87" customFormat="false" ht="15" hidden="false" customHeight="false" outlineLevel="0" collapsed="false">
      <c r="A87" s="4" t="s">
        <v>494</v>
      </c>
      <c r="B87" s="4" t="s">
        <v>217</v>
      </c>
      <c r="C87" s="4" t="s">
        <v>68</v>
      </c>
      <c r="D87" s="4" t="s">
        <v>16</v>
      </c>
      <c r="E87" s="4" t="s">
        <v>495</v>
      </c>
      <c r="F87" s="4" t="s">
        <v>496</v>
      </c>
      <c r="G87" s="4" t="s">
        <v>497</v>
      </c>
      <c r="H87" s="4" t="s">
        <v>218</v>
      </c>
      <c r="I87" s="4" t="s">
        <v>41</v>
      </c>
      <c r="J87" s="4" t="s">
        <v>498</v>
      </c>
      <c r="K87" s="5" t="s">
        <v>23</v>
      </c>
      <c r="L87" s="4" t="s">
        <v>499</v>
      </c>
    </row>
  </sheetData>
  <autoFilter ref="A1:L87"/>
  <mergeCells count="6">
    <mergeCell ref="A2:L2"/>
    <mergeCell ref="A8:L8"/>
    <mergeCell ref="A15:L15"/>
    <mergeCell ref="A46:L46"/>
    <mergeCell ref="A61:L61"/>
    <mergeCell ref="A71:L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65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0"/>
  </cols>
  <sheetData>
    <row r="1" customFormat="false" ht="23.25" hidden="false" customHeight="true" outlineLevel="0" collapsed="false">
      <c r="A1" s="2" t="s">
        <v>500</v>
      </c>
      <c r="B1" s="2" t="s">
        <v>501</v>
      </c>
      <c r="C1" s="2" t="s">
        <v>502</v>
      </c>
      <c r="D1" s="2" t="s">
        <v>503</v>
      </c>
      <c r="E1" s="2" t="s">
        <v>504</v>
      </c>
      <c r="F1" s="2" t="s">
        <v>505</v>
      </c>
      <c r="G1" s="2" t="s">
        <v>11</v>
      </c>
    </row>
    <row r="2" customFormat="false" ht="15" hidden="false" customHeight="true" outlineLevel="0" collapsed="false">
      <c r="A2" s="3" t="s">
        <v>506</v>
      </c>
      <c r="B2" s="3"/>
      <c r="C2" s="3"/>
      <c r="D2" s="3"/>
      <c r="E2" s="3"/>
      <c r="F2" s="3"/>
      <c r="G2" s="3"/>
    </row>
    <row r="3" customFormat="false" ht="42.75" hidden="false" customHeight="true" outlineLevel="0" collapsed="false">
      <c r="A3" s="4" t="s">
        <v>39</v>
      </c>
      <c r="B3" s="4" t="s">
        <v>4</v>
      </c>
      <c r="C3" s="4" t="s">
        <v>507</v>
      </c>
      <c r="D3" s="4" t="s">
        <v>508</v>
      </c>
      <c r="E3" s="4" t="s">
        <v>509</v>
      </c>
      <c r="F3" s="10" t="s">
        <v>510</v>
      </c>
      <c r="G3" s="4" t="s">
        <v>511</v>
      </c>
    </row>
    <row r="4" customFormat="false" ht="21.75" hidden="false" customHeight="true" outlineLevel="0" collapsed="false">
      <c r="A4" s="4" t="s">
        <v>512</v>
      </c>
      <c r="B4" s="4" t="s">
        <v>4</v>
      </c>
      <c r="C4" s="4" t="s">
        <v>513</v>
      </c>
      <c r="D4" s="4" t="s">
        <v>514</v>
      </c>
      <c r="E4" s="4" t="s">
        <v>509</v>
      </c>
      <c r="F4" s="10" t="s">
        <v>510</v>
      </c>
      <c r="G4" s="4" t="s">
        <v>515</v>
      </c>
    </row>
    <row r="5" customFormat="false" ht="15" hidden="false" customHeight="true" outlineLevel="0" collapsed="false">
      <c r="A5" s="4" t="s">
        <v>308</v>
      </c>
      <c r="B5" s="4" t="s">
        <v>4</v>
      </c>
      <c r="C5" s="4" t="s">
        <v>516</v>
      </c>
      <c r="D5" s="4" t="s">
        <v>517</v>
      </c>
      <c r="E5" s="4" t="s">
        <v>518</v>
      </c>
      <c r="F5" s="5" t="s">
        <v>23</v>
      </c>
      <c r="G5" s="4" t="s">
        <v>519</v>
      </c>
    </row>
    <row r="6" customFormat="false" ht="15" hidden="false" customHeight="true" outlineLevel="0" collapsed="false">
      <c r="A6" s="4" t="s">
        <v>301</v>
      </c>
      <c r="B6" s="4" t="s">
        <v>4</v>
      </c>
      <c r="C6" s="4" t="s">
        <v>520</v>
      </c>
      <c r="D6" s="4" t="s">
        <v>521</v>
      </c>
      <c r="E6" s="4" t="s">
        <v>509</v>
      </c>
      <c r="F6" s="5" t="s">
        <v>23</v>
      </c>
      <c r="G6" s="4" t="s">
        <v>522</v>
      </c>
    </row>
    <row r="7" customFormat="false" ht="21.75" hidden="false" customHeight="true" outlineLevel="0" collapsed="false">
      <c r="A7" s="4" t="s">
        <v>321</v>
      </c>
      <c r="B7" s="4" t="s">
        <v>4</v>
      </c>
      <c r="C7" s="4" t="s">
        <v>523</v>
      </c>
      <c r="D7" s="4" t="s">
        <v>524</v>
      </c>
      <c r="E7" s="4" t="s">
        <v>509</v>
      </c>
      <c r="F7" s="6" t="s">
        <v>58</v>
      </c>
      <c r="G7" s="4" t="s">
        <v>525</v>
      </c>
    </row>
    <row r="8" customFormat="false" ht="15" hidden="false" customHeight="true" outlineLevel="0" collapsed="false">
      <c r="A8" s="4" t="s">
        <v>526</v>
      </c>
      <c r="B8" s="4" t="s">
        <v>4</v>
      </c>
      <c r="C8" s="4" t="s">
        <v>527</v>
      </c>
      <c r="D8" s="4" t="s">
        <v>528</v>
      </c>
      <c r="E8" s="4" t="s">
        <v>509</v>
      </c>
      <c r="F8" s="5" t="s">
        <v>23</v>
      </c>
      <c r="G8" s="4" t="s">
        <v>529</v>
      </c>
    </row>
    <row r="9" customFormat="false" ht="15" hidden="false" customHeight="true" outlineLevel="0" collapsed="false">
      <c r="A9" s="4" t="s">
        <v>79</v>
      </c>
      <c r="B9" s="4" t="s">
        <v>4</v>
      </c>
      <c r="C9" s="4" t="s">
        <v>530</v>
      </c>
      <c r="D9" s="4" t="s">
        <v>531</v>
      </c>
      <c r="E9" s="4" t="s">
        <v>518</v>
      </c>
      <c r="F9" s="5" t="s">
        <v>23</v>
      </c>
      <c r="G9" s="4" t="s">
        <v>532</v>
      </c>
    </row>
    <row r="10" customFormat="false" ht="15" hidden="false" customHeight="true" outlineLevel="0" collapsed="false">
      <c r="A10" s="4" t="s">
        <v>278</v>
      </c>
      <c r="B10" s="4" t="s">
        <v>4</v>
      </c>
      <c r="C10" s="4" t="s">
        <v>533</v>
      </c>
      <c r="D10" s="4" t="s">
        <v>534</v>
      </c>
      <c r="E10" s="4" t="s">
        <v>518</v>
      </c>
      <c r="F10" s="5" t="s">
        <v>23</v>
      </c>
      <c r="G10" s="4" t="s">
        <v>535</v>
      </c>
    </row>
    <row r="11" customFormat="false" ht="15" hidden="false" customHeight="true" outlineLevel="0" collapsed="false">
      <c r="A11" s="4" t="s">
        <v>536</v>
      </c>
      <c r="B11" s="4" t="s">
        <v>4</v>
      </c>
      <c r="C11" s="4" t="s">
        <v>537</v>
      </c>
      <c r="D11" s="4" t="s">
        <v>538</v>
      </c>
      <c r="E11" s="4" t="s">
        <v>518</v>
      </c>
      <c r="F11" s="5" t="s">
        <v>23</v>
      </c>
      <c r="G11" s="4" t="s">
        <v>539</v>
      </c>
    </row>
    <row r="12" customFormat="false" ht="15" hidden="false" customHeight="true" outlineLevel="0" collapsed="false">
      <c r="A12" s="4" t="s">
        <v>446</v>
      </c>
      <c r="B12" s="4" t="s">
        <v>4</v>
      </c>
      <c r="C12" s="4" t="s">
        <v>540</v>
      </c>
      <c r="D12" s="4" t="s">
        <v>444</v>
      </c>
      <c r="E12" s="4" t="s">
        <v>509</v>
      </c>
      <c r="F12" s="5" t="s">
        <v>23</v>
      </c>
      <c r="G12" s="4" t="s">
        <v>541</v>
      </c>
    </row>
    <row r="13" customFormat="false" ht="15" hidden="false" customHeight="true" outlineLevel="0" collapsed="false">
      <c r="A13" s="4" t="s">
        <v>542</v>
      </c>
      <c r="B13" s="4" t="s">
        <v>4</v>
      </c>
      <c r="C13" s="4" t="s">
        <v>543</v>
      </c>
      <c r="D13" s="4" t="s">
        <v>544</v>
      </c>
      <c r="E13" s="4" t="s">
        <v>509</v>
      </c>
      <c r="F13" s="5" t="s">
        <v>23</v>
      </c>
      <c r="G13" s="4" t="s">
        <v>545</v>
      </c>
    </row>
    <row r="14" customFormat="false" ht="15" hidden="false" customHeight="true" outlineLevel="0" collapsed="false">
      <c r="A14" s="4" t="s">
        <v>61</v>
      </c>
      <c r="B14" s="4" t="s">
        <v>4</v>
      </c>
      <c r="C14" s="4" t="s">
        <v>546</v>
      </c>
      <c r="D14" s="4" t="s">
        <v>60</v>
      </c>
      <c r="E14" s="4" t="s">
        <v>547</v>
      </c>
      <c r="F14" s="5" t="s">
        <v>23</v>
      </c>
      <c r="G14" s="4" t="s">
        <v>548</v>
      </c>
    </row>
    <row r="15" customFormat="false" ht="15" hidden="false" customHeight="true" outlineLevel="0" collapsed="false">
      <c r="A15" s="4" t="s">
        <v>346</v>
      </c>
      <c r="B15" s="4" t="s">
        <v>4</v>
      </c>
      <c r="C15" s="4" t="s">
        <v>549</v>
      </c>
      <c r="D15" s="4" t="s">
        <v>550</v>
      </c>
      <c r="E15" s="4" t="s">
        <v>518</v>
      </c>
      <c r="F15" s="5" t="s">
        <v>23</v>
      </c>
      <c r="G15" s="4" t="s">
        <v>551</v>
      </c>
    </row>
    <row r="16" customFormat="false" ht="15" hidden="false" customHeight="true" outlineLevel="0" collapsed="false">
      <c r="A16" s="4" t="s">
        <v>495</v>
      </c>
      <c r="B16" s="4" t="s">
        <v>4</v>
      </c>
      <c r="C16" s="4" t="s">
        <v>552</v>
      </c>
      <c r="D16" s="4" t="s">
        <v>553</v>
      </c>
      <c r="E16" s="4" t="s">
        <v>547</v>
      </c>
      <c r="F16" s="5" t="s">
        <v>23</v>
      </c>
      <c r="G16" s="4" t="s">
        <v>554</v>
      </c>
    </row>
    <row r="17" customFormat="false" ht="15" hidden="false" customHeight="true" outlineLevel="0" collapsed="false">
      <c r="A17" s="4" t="s">
        <v>454</v>
      </c>
      <c r="B17" s="4" t="s">
        <v>4</v>
      </c>
      <c r="C17" s="4" t="s">
        <v>555</v>
      </c>
      <c r="D17" s="4" t="s">
        <v>453</v>
      </c>
      <c r="E17" s="4" t="s">
        <v>518</v>
      </c>
      <c r="F17" s="5" t="s">
        <v>23</v>
      </c>
      <c r="G17" s="4" t="s">
        <v>556</v>
      </c>
    </row>
    <row r="18" customFormat="false" ht="15" hidden="false" customHeight="true" outlineLevel="0" collapsed="false">
      <c r="A18" s="4" t="s">
        <v>557</v>
      </c>
      <c r="B18" s="4" t="s">
        <v>4</v>
      </c>
      <c r="C18" s="4" t="s">
        <v>558</v>
      </c>
      <c r="D18" s="4" t="s">
        <v>559</v>
      </c>
      <c r="E18" s="4" t="s">
        <v>518</v>
      </c>
      <c r="F18" s="5" t="s">
        <v>23</v>
      </c>
      <c r="G18" s="4" t="s">
        <v>560</v>
      </c>
    </row>
    <row r="19" customFormat="false" ht="15" hidden="false" customHeight="true" outlineLevel="0" collapsed="false">
      <c r="A19" s="4" t="s">
        <v>561</v>
      </c>
      <c r="B19" s="4" t="s">
        <v>4</v>
      </c>
      <c r="C19" s="4" t="s">
        <v>562</v>
      </c>
      <c r="D19" s="4" t="s">
        <v>563</v>
      </c>
      <c r="E19" s="4" t="s">
        <v>509</v>
      </c>
      <c r="F19" s="4" t="s">
        <v>23</v>
      </c>
      <c r="G19" s="4" t="s">
        <v>564</v>
      </c>
    </row>
    <row r="20" customFormat="false" ht="21.75" hidden="false" customHeight="true" outlineLevel="0" collapsed="false">
      <c r="A20" s="4" t="s">
        <v>565</v>
      </c>
      <c r="B20" s="4" t="s">
        <v>4</v>
      </c>
      <c r="C20" s="4" t="s">
        <v>566</v>
      </c>
      <c r="D20" s="4" t="s">
        <v>567</v>
      </c>
      <c r="E20" s="4" t="s">
        <v>518</v>
      </c>
      <c r="F20" s="5" t="s">
        <v>23</v>
      </c>
      <c r="G20" s="4" t="s">
        <v>568</v>
      </c>
    </row>
    <row r="21" customFormat="false" ht="15" hidden="false" customHeight="true" outlineLevel="0" collapsed="false">
      <c r="A21" s="4" t="s">
        <v>569</v>
      </c>
      <c r="B21" s="4" t="s">
        <v>4</v>
      </c>
      <c r="C21" s="4" t="s">
        <v>570</v>
      </c>
      <c r="D21" s="4" t="s">
        <v>571</v>
      </c>
      <c r="E21" s="4" t="s">
        <v>509</v>
      </c>
      <c r="F21" s="5" t="s">
        <v>23</v>
      </c>
      <c r="G21" s="4" t="s">
        <v>572</v>
      </c>
    </row>
    <row r="22" customFormat="false" ht="15" hidden="false" customHeight="true" outlineLevel="0" collapsed="false">
      <c r="A22" s="4" t="s">
        <v>573</v>
      </c>
      <c r="B22" s="4" t="s">
        <v>4</v>
      </c>
      <c r="C22" s="4" t="s">
        <v>574</v>
      </c>
      <c r="D22" s="4" t="s">
        <v>575</v>
      </c>
      <c r="E22" s="4" t="s">
        <v>576</v>
      </c>
      <c r="F22" s="5" t="s">
        <v>23</v>
      </c>
      <c r="G22" s="4" t="s">
        <v>577</v>
      </c>
    </row>
    <row r="23" customFormat="false" ht="15" hidden="false" customHeight="true" outlineLevel="0" collapsed="false">
      <c r="A23" s="4" t="s">
        <v>578</v>
      </c>
      <c r="B23" s="4" t="s">
        <v>4</v>
      </c>
      <c r="C23" s="4" t="s">
        <v>579</v>
      </c>
      <c r="D23" s="4" t="s">
        <v>580</v>
      </c>
      <c r="E23" s="4" t="s">
        <v>576</v>
      </c>
      <c r="F23" s="5" t="s">
        <v>23</v>
      </c>
      <c r="G23" s="4" t="s">
        <v>581</v>
      </c>
    </row>
    <row r="24" customFormat="false" ht="15" hidden="false" customHeight="true" outlineLevel="0" collapsed="false">
      <c r="A24" s="3" t="s">
        <v>582</v>
      </c>
      <c r="B24" s="8"/>
      <c r="C24" s="8"/>
      <c r="D24" s="8"/>
      <c r="E24" s="8"/>
      <c r="F24" s="8"/>
      <c r="G24" s="9"/>
    </row>
    <row r="25" customFormat="false" ht="15" hidden="false" customHeight="true" outlineLevel="0" collapsed="false">
      <c r="A25" s="4" t="s">
        <v>189</v>
      </c>
      <c r="B25" s="4" t="s">
        <v>583</v>
      </c>
      <c r="C25" s="4" t="s">
        <v>584</v>
      </c>
      <c r="D25" s="4" t="s">
        <v>585</v>
      </c>
      <c r="E25" s="4" t="s">
        <v>518</v>
      </c>
      <c r="F25" s="5" t="s">
        <v>23</v>
      </c>
      <c r="G25" s="4" t="s">
        <v>586</v>
      </c>
    </row>
    <row r="26" customFormat="false" ht="15" hidden="false" customHeight="true" outlineLevel="0" collapsed="false">
      <c r="A26" s="4" t="s">
        <v>587</v>
      </c>
      <c r="B26" s="4" t="s">
        <v>583</v>
      </c>
      <c r="C26" s="4" t="s">
        <v>588</v>
      </c>
      <c r="D26" s="4" t="s">
        <v>589</v>
      </c>
      <c r="E26" s="4" t="s">
        <v>509</v>
      </c>
      <c r="F26" s="5" t="s">
        <v>23</v>
      </c>
      <c r="G26" s="4" t="s">
        <v>590</v>
      </c>
    </row>
    <row r="27" customFormat="false" ht="15" hidden="false" customHeight="true" outlineLevel="0" collapsed="false">
      <c r="A27" s="4" t="s">
        <v>591</v>
      </c>
      <c r="B27" s="4" t="s">
        <v>583</v>
      </c>
      <c r="C27" s="4" t="s">
        <v>592</v>
      </c>
      <c r="D27" s="4" t="s">
        <v>593</v>
      </c>
      <c r="E27" s="4" t="s">
        <v>509</v>
      </c>
      <c r="F27" s="6" t="s">
        <v>58</v>
      </c>
      <c r="G27" s="4" t="s">
        <v>594</v>
      </c>
    </row>
    <row r="28" customFormat="false" ht="15" hidden="false" customHeight="true" outlineLevel="0" collapsed="false">
      <c r="A28" s="4" t="s">
        <v>595</v>
      </c>
      <c r="B28" s="4" t="s">
        <v>583</v>
      </c>
      <c r="C28" s="4" t="s">
        <v>596</v>
      </c>
      <c r="D28" s="4" t="s">
        <v>597</v>
      </c>
      <c r="E28" s="4" t="s">
        <v>518</v>
      </c>
      <c r="F28" s="5" t="s">
        <v>23</v>
      </c>
      <c r="G28" s="4" t="s">
        <v>598</v>
      </c>
    </row>
    <row r="29" customFormat="false" ht="15" hidden="false" customHeight="true" outlineLevel="0" collapsed="false">
      <c r="A29" s="4" t="s">
        <v>599</v>
      </c>
      <c r="B29" s="4" t="s">
        <v>583</v>
      </c>
      <c r="C29" s="4" t="s">
        <v>600</v>
      </c>
      <c r="D29" s="4" t="s">
        <v>601</v>
      </c>
      <c r="E29" s="4" t="s">
        <v>518</v>
      </c>
      <c r="F29" s="5" t="s">
        <v>23</v>
      </c>
      <c r="G29" s="4" t="s">
        <v>602</v>
      </c>
    </row>
    <row r="30" customFormat="false" ht="15" hidden="false" customHeight="true" outlineLevel="0" collapsed="false">
      <c r="A30" s="4" t="s">
        <v>603</v>
      </c>
      <c r="B30" s="4" t="s">
        <v>583</v>
      </c>
      <c r="C30" s="4" t="s">
        <v>604</v>
      </c>
      <c r="D30" s="4" t="s">
        <v>256</v>
      </c>
      <c r="E30" s="4" t="s">
        <v>509</v>
      </c>
      <c r="F30" s="6" t="s">
        <v>58</v>
      </c>
      <c r="G30" s="4" t="s">
        <v>605</v>
      </c>
    </row>
    <row r="31" customFormat="false" ht="15" hidden="false" customHeight="true" outlineLevel="0" collapsed="false">
      <c r="A31" s="4" t="s">
        <v>606</v>
      </c>
      <c r="B31" s="4" t="s">
        <v>583</v>
      </c>
      <c r="C31" s="4" t="s">
        <v>607</v>
      </c>
      <c r="D31" s="4" t="s">
        <v>521</v>
      </c>
      <c r="E31" s="4" t="s">
        <v>576</v>
      </c>
      <c r="F31" s="5" t="s">
        <v>23</v>
      </c>
      <c r="G31" s="4" t="s">
        <v>608</v>
      </c>
    </row>
    <row r="32" customFormat="false" ht="15" hidden="false" customHeight="true" outlineLevel="0" collapsed="false">
      <c r="A32" s="4" t="s">
        <v>609</v>
      </c>
      <c r="B32" s="4" t="s">
        <v>583</v>
      </c>
      <c r="C32" s="4" t="s">
        <v>610</v>
      </c>
      <c r="D32" s="4" t="s">
        <v>611</v>
      </c>
      <c r="E32" s="4" t="s">
        <v>509</v>
      </c>
      <c r="F32" s="5" t="s">
        <v>23</v>
      </c>
      <c r="G32" s="4" t="s">
        <v>612</v>
      </c>
    </row>
    <row r="33" customFormat="false" ht="15" hidden="false" customHeight="true" outlineLevel="0" collapsed="false">
      <c r="A33" s="4" t="s">
        <v>613</v>
      </c>
      <c r="B33" s="4" t="s">
        <v>583</v>
      </c>
      <c r="C33" s="4" t="s">
        <v>614</v>
      </c>
      <c r="D33" s="4" t="s">
        <v>615</v>
      </c>
      <c r="E33" s="4" t="s">
        <v>518</v>
      </c>
      <c r="F33" s="5" t="s">
        <v>23</v>
      </c>
      <c r="G33" s="4" t="s">
        <v>616</v>
      </c>
    </row>
    <row r="34" customFormat="false" ht="15" hidden="false" customHeight="true" outlineLevel="0" collapsed="false">
      <c r="A34" s="4" t="s">
        <v>617</v>
      </c>
      <c r="B34" s="4" t="s">
        <v>583</v>
      </c>
      <c r="C34" s="4" t="s">
        <v>618</v>
      </c>
      <c r="D34" s="4" t="s">
        <v>619</v>
      </c>
      <c r="E34" s="4" t="s">
        <v>509</v>
      </c>
      <c r="F34" s="6" t="s">
        <v>58</v>
      </c>
      <c r="G34" s="4" t="s">
        <v>620</v>
      </c>
    </row>
    <row r="35" customFormat="false" ht="15" hidden="false" customHeight="true" outlineLevel="0" collapsed="false">
      <c r="A35" s="4" t="s">
        <v>621</v>
      </c>
      <c r="B35" s="4" t="s">
        <v>583</v>
      </c>
      <c r="C35" s="4" t="s">
        <v>622</v>
      </c>
      <c r="D35" s="4" t="s">
        <v>619</v>
      </c>
      <c r="E35" s="4" t="s">
        <v>518</v>
      </c>
      <c r="F35" s="6" t="s">
        <v>58</v>
      </c>
      <c r="G35" s="4" t="s">
        <v>623</v>
      </c>
    </row>
    <row r="36" customFormat="false" ht="15" hidden="false" customHeight="true" outlineLevel="0" collapsed="false">
      <c r="A36" s="4" t="s">
        <v>88</v>
      </c>
      <c r="B36" s="4" t="s">
        <v>583</v>
      </c>
      <c r="C36" s="4" t="s">
        <v>624</v>
      </c>
      <c r="D36" s="4" t="s">
        <v>86</v>
      </c>
      <c r="E36" s="4" t="s">
        <v>518</v>
      </c>
      <c r="F36" s="5" t="s">
        <v>23</v>
      </c>
      <c r="G36" s="4" t="s">
        <v>625</v>
      </c>
    </row>
    <row r="37" customFormat="false" ht="15" hidden="false" customHeight="true" outlineLevel="0" collapsed="false">
      <c r="A37" s="4" t="s">
        <v>56</v>
      </c>
      <c r="B37" s="4" t="s">
        <v>626</v>
      </c>
      <c r="C37" s="4" t="s">
        <v>627</v>
      </c>
      <c r="D37" s="4" t="s">
        <v>52</v>
      </c>
      <c r="E37" s="4" t="s">
        <v>509</v>
      </c>
      <c r="F37" s="6" t="s">
        <v>58</v>
      </c>
      <c r="G37" s="4" t="s">
        <v>628</v>
      </c>
    </row>
    <row r="38" customFormat="false" ht="15" hidden="false" customHeight="true" outlineLevel="0" collapsed="false">
      <c r="A38" s="4" t="s">
        <v>629</v>
      </c>
      <c r="B38" s="4" t="s">
        <v>583</v>
      </c>
      <c r="C38" s="4" t="s">
        <v>630</v>
      </c>
      <c r="D38" s="4" t="s">
        <v>631</v>
      </c>
      <c r="E38" s="4" t="s">
        <v>576</v>
      </c>
      <c r="F38" s="6" t="s">
        <v>58</v>
      </c>
      <c r="G38" s="4" t="s">
        <v>632</v>
      </c>
    </row>
    <row r="39" customFormat="false" ht="15" hidden="false" customHeight="true" outlineLevel="0" collapsed="false">
      <c r="A39" s="4" t="s">
        <v>633</v>
      </c>
      <c r="B39" s="4" t="s">
        <v>583</v>
      </c>
      <c r="C39" s="4" t="s">
        <v>634</v>
      </c>
      <c r="D39" s="4" t="s">
        <v>635</v>
      </c>
      <c r="E39" s="4" t="s">
        <v>576</v>
      </c>
      <c r="F39" s="5" t="s">
        <v>23</v>
      </c>
      <c r="G39" s="4" t="s">
        <v>636</v>
      </c>
    </row>
    <row r="40" customFormat="false" ht="15" hidden="false" customHeight="true" outlineLevel="0" collapsed="false">
      <c r="A40" s="4" t="s">
        <v>637</v>
      </c>
      <c r="B40" s="4" t="s">
        <v>583</v>
      </c>
      <c r="C40" s="4" t="s">
        <v>638</v>
      </c>
      <c r="D40" s="4" t="s">
        <v>639</v>
      </c>
      <c r="E40" s="4" t="s">
        <v>509</v>
      </c>
      <c r="F40" s="5" t="s">
        <v>23</v>
      </c>
      <c r="G40" s="4" t="s">
        <v>640</v>
      </c>
    </row>
    <row r="41" customFormat="false" ht="15" hidden="false" customHeight="true" outlineLevel="0" collapsed="false">
      <c r="A41" s="4" t="s">
        <v>641</v>
      </c>
      <c r="B41" s="4" t="s">
        <v>583</v>
      </c>
      <c r="C41" s="4" t="s">
        <v>642</v>
      </c>
      <c r="D41" s="4" t="s">
        <v>195</v>
      </c>
      <c r="E41" s="4" t="s">
        <v>509</v>
      </c>
      <c r="F41" s="5" t="s">
        <v>23</v>
      </c>
      <c r="G41" s="4" t="s">
        <v>643</v>
      </c>
    </row>
    <row r="42" customFormat="false" ht="15" hidden="false" customHeight="true" outlineLevel="0" collapsed="false">
      <c r="A42" s="4" t="s">
        <v>644</v>
      </c>
      <c r="B42" s="4" t="s">
        <v>583</v>
      </c>
      <c r="C42" s="4" t="s">
        <v>645</v>
      </c>
      <c r="D42" s="4" t="s">
        <v>646</v>
      </c>
      <c r="E42" s="4" t="s">
        <v>518</v>
      </c>
      <c r="F42" s="5" t="s">
        <v>23</v>
      </c>
      <c r="G42" s="4" t="s">
        <v>647</v>
      </c>
    </row>
    <row r="43" customFormat="false" ht="15" hidden="false" customHeight="true" outlineLevel="0" collapsed="false">
      <c r="A43" s="4" t="s">
        <v>141</v>
      </c>
      <c r="B43" s="4" t="s">
        <v>583</v>
      </c>
      <c r="C43" s="4" t="s">
        <v>648</v>
      </c>
      <c r="D43" s="4" t="s">
        <v>649</v>
      </c>
      <c r="E43" s="4" t="s">
        <v>518</v>
      </c>
      <c r="F43" s="5" t="s">
        <v>23</v>
      </c>
      <c r="G43" s="4" t="s">
        <v>650</v>
      </c>
    </row>
    <row r="44" customFormat="false" ht="15" hidden="false" customHeight="true" outlineLevel="0" collapsed="false">
      <c r="A44" s="4" t="s">
        <v>651</v>
      </c>
      <c r="B44" s="4" t="s">
        <v>583</v>
      </c>
      <c r="C44" s="4" t="s">
        <v>652</v>
      </c>
      <c r="D44" s="4" t="s">
        <v>653</v>
      </c>
      <c r="E44" s="4" t="s">
        <v>518</v>
      </c>
      <c r="F44" s="6" t="s">
        <v>58</v>
      </c>
      <c r="G44" s="4" t="s">
        <v>654</v>
      </c>
    </row>
    <row r="45" customFormat="false" ht="15" hidden="false" customHeight="true" outlineLevel="0" collapsed="false">
      <c r="A45" s="4" t="s">
        <v>655</v>
      </c>
      <c r="B45" s="4" t="s">
        <v>583</v>
      </c>
      <c r="C45" s="4" t="s">
        <v>656</v>
      </c>
      <c r="D45" s="4" t="s">
        <v>534</v>
      </c>
      <c r="E45" s="4" t="s">
        <v>518</v>
      </c>
      <c r="F45" s="5" t="s">
        <v>23</v>
      </c>
      <c r="G45" s="4" t="s">
        <v>657</v>
      </c>
    </row>
    <row r="46" customFormat="false" ht="15" hidden="false" customHeight="true" outlineLevel="0" collapsed="false">
      <c r="A46" s="4" t="s">
        <v>658</v>
      </c>
      <c r="B46" s="4" t="s">
        <v>583</v>
      </c>
      <c r="C46" s="4" t="s">
        <v>659</v>
      </c>
      <c r="D46" s="4" t="s">
        <v>444</v>
      </c>
      <c r="E46" s="4" t="s">
        <v>509</v>
      </c>
      <c r="F46" s="5" t="s">
        <v>23</v>
      </c>
      <c r="G46" s="4" t="s">
        <v>660</v>
      </c>
    </row>
    <row r="47" customFormat="false" ht="15" hidden="false" customHeight="true" outlineLevel="0" collapsed="false">
      <c r="A47" s="4" t="s">
        <v>661</v>
      </c>
      <c r="B47" s="4" t="s">
        <v>662</v>
      </c>
      <c r="C47" s="4" t="s">
        <v>663</v>
      </c>
      <c r="D47" s="4" t="s">
        <v>664</v>
      </c>
      <c r="E47" s="4" t="s">
        <v>509</v>
      </c>
      <c r="F47" s="4" t="s">
        <v>23</v>
      </c>
      <c r="G47" s="4" t="s">
        <v>665</v>
      </c>
    </row>
    <row r="48" customFormat="false" ht="15" hidden="false" customHeight="true" outlineLevel="0" collapsed="false">
      <c r="A48" s="4" t="s">
        <v>666</v>
      </c>
      <c r="B48" s="4" t="s">
        <v>662</v>
      </c>
      <c r="C48" s="4" t="s">
        <v>667</v>
      </c>
      <c r="D48" s="4" t="s">
        <v>668</v>
      </c>
      <c r="E48" s="4" t="s">
        <v>518</v>
      </c>
      <c r="F48" s="5" t="s">
        <v>23</v>
      </c>
      <c r="G48" s="4" t="s">
        <v>669</v>
      </c>
    </row>
    <row r="49" customFormat="false" ht="15" hidden="false" customHeight="true" outlineLevel="0" collapsed="false">
      <c r="A49" s="4" t="s">
        <v>670</v>
      </c>
      <c r="B49" s="4" t="s">
        <v>583</v>
      </c>
      <c r="C49" s="4" t="s">
        <v>671</v>
      </c>
      <c r="D49" s="4" t="s">
        <v>672</v>
      </c>
      <c r="E49" s="4" t="s">
        <v>518</v>
      </c>
      <c r="F49" s="5" t="s">
        <v>23</v>
      </c>
      <c r="G49" s="4" t="s">
        <v>673</v>
      </c>
    </row>
    <row r="50" customFormat="false" ht="21.75" hidden="false" customHeight="true" outlineLevel="0" collapsed="false">
      <c r="A50" s="4" t="s">
        <v>674</v>
      </c>
      <c r="B50" s="4" t="s">
        <v>583</v>
      </c>
      <c r="C50" s="4" t="s">
        <v>675</v>
      </c>
      <c r="D50" s="4" t="s">
        <v>676</v>
      </c>
      <c r="E50" s="4" t="s">
        <v>518</v>
      </c>
      <c r="F50" s="5" t="s">
        <v>23</v>
      </c>
      <c r="G50" s="4" t="s">
        <v>677</v>
      </c>
    </row>
    <row r="51" customFormat="false" ht="15" hidden="false" customHeight="true" outlineLevel="0" collapsed="false">
      <c r="A51" s="4" t="s">
        <v>678</v>
      </c>
      <c r="B51" s="4" t="s">
        <v>583</v>
      </c>
      <c r="C51" s="4" t="s">
        <v>679</v>
      </c>
      <c r="D51" s="4" t="s">
        <v>307</v>
      </c>
      <c r="E51" s="4" t="s">
        <v>509</v>
      </c>
      <c r="F51" s="5" t="s">
        <v>23</v>
      </c>
      <c r="G51" s="4" t="s">
        <v>680</v>
      </c>
    </row>
    <row r="52" customFormat="false" ht="15" hidden="false" customHeight="true" outlineLevel="0" collapsed="false">
      <c r="A52" s="3" t="s">
        <v>681</v>
      </c>
      <c r="B52" s="8"/>
      <c r="C52" s="8"/>
      <c r="D52" s="8"/>
      <c r="E52" s="8"/>
      <c r="F52" s="8"/>
      <c r="G52" s="9"/>
    </row>
    <row r="53" customFormat="false" ht="15" hidden="false" customHeight="true" outlineLevel="0" collapsed="false">
      <c r="A53" s="4" t="s">
        <v>173</v>
      </c>
      <c r="B53" s="4" t="s">
        <v>682</v>
      </c>
      <c r="C53" s="4" t="s">
        <v>683</v>
      </c>
      <c r="D53" s="4" t="s">
        <v>684</v>
      </c>
      <c r="E53" s="4" t="s">
        <v>518</v>
      </c>
      <c r="F53" s="5" t="s">
        <v>23</v>
      </c>
      <c r="G53" s="4" t="s">
        <v>685</v>
      </c>
    </row>
    <row r="54" customFormat="false" ht="15" hidden="false" customHeight="true" outlineLevel="0" collapsed="false">
      <c r="A54" s="4" t="s">
        <v>686</v>
      </c>
      <c r="B54" s="4" t="s">
        <v>682</v>
      </c>
      <c r="C54" s="4" t="s">
        <v>687</v>
      </c>
      <c r="D54" s="4" t="s">
        <v>593</v>
      </c>
      <c r="E54" s="4" t="s">
        <v>509</v>
      </c>
      <c r="F54" s="6" t="s">
        <v>58</v>
      </c>
      <c r="G54" s="4" t="s">
        <v>688</v>
      </c>
    </row>
    <row r="55" customFormat="false" ht="15" hidden="false" customHeight="true" outlineLevel="0" collapsed="false">
      <c r="A55" s="4" t="s">
        <v>264</v>
      </c>
      <c r="B55" s="4" t="s">
        <v>682</v>
      </c>
      <c r="C55" s="4" t="s">
        <v>689</v>
      </c>
      <c r="D55" s="4" t="s">
        <v>690</v>
      </c>
      <c r="E55" s="4" t="s">
        <v>518</v>
      </c>
      <c r="F55" s="5" t="s">
        <v>23</v>
      </c>
      <c r="G55" s="4" t="s">
        <v>691</v>
      </c>
    </row>
    <row r="56" customFormat="false" ht="15" hidden="false" customHeight="true" outlineLevel="0" collapsed="false">
      <c r="A56" s="4" t="s">
        <v>48</v>
      </c>
      <c r="B56" s="4" t="s">
        <v>692</v>
      </c>
      <c r="C56" s="4" t="s">
        <v>693</v>
      </c>
      <c r="D56" s="4" t="s">
        <v>694</v>
      </c>
      <c r="E56" s="4" t="s">
        <v>509</v>
      </c>
      <c r="F56" s="5" t="s">
        <v>23</v>
      </c>
      <c r="G56" s="4" t="s">
        <v>695</v>
      </c>
    </row>
    <row r="57" customFormat="false" ht="15" hidden="false" customHeight="true" outlineLevel="0" collapsed="false">
      <c r="A57" s="4" t="s">
        <v>356</v>
      </c>
      <c r="B57" s="4" t="s">
        <v>692</v>
      </c>
      <c r="C57" s="4" t="s">
        <v>696</v>
      </c>
      <c r="D57" s="4" t="s">
        <v>697</v>
      </c>
      <c r="E57" s="4" t="s">
        <v>509</v>
      </c>
      <c r="F57" s="6" t="s">
        <v>58</v>
      </c>
      <c r="G57" s="4" t="s">
        <v>698</v>
      </c>
    </row>
    <row r="58" customFormat="false" ht="15" hidden="false" customHeight="true" outlineLevel="0" collapsed="false">
      <c r="A58" s="4" t="s">
        <v>699</v>
      </c>
      <c r="B58" s="4" t="s">
        <v>682</v>
      </c>
      <c r="C58" s="4" t="s">
        <v>700</v>
      </c>
      <c r="D58" s="4" t="s">
        <v>701</v>
      </c>
      <c r="E58" s="4" t="s">
        <v>509</v>
      </c>
      <c r="F58" s="5" t="s">
        <v>23</v>
      </c>
      <c r="G58" s="4" t="s">
        <v>702</v>
      </c>
    </row>
    <row r="59" customFormat="false" ht="15" hidden="false" customHeight="true" outlineLevel="0" collapsed="false">
      <c r="A59" s="4" t="s">
        <v>703</v>
      </c>
      <c r="B59" s="4" t="s">
        <v>682</v>
      </c>
      <c r="C59" s="4" t="s">
        <v>704</v>
      </c>
      <c r="D59" s="4" t="s">
        <v>396</v>
      </c>
      <c r="E59" s="4" t="s">
        <v>509</v>
      </c>
      <c r="F59" s="5" t="s">
        <v>23</v>
      </c>
      <c r="G59" s="4" t="s">
        <v>705</v>
      </c>
    </row>
    <row r="60" customFormat="false" ht="15" hidden="false" customHeight="true" outlineLevel="0" collapsed="false">
      <c r="A60" s="4" t="s">
        <v>706</v>
      </c>
      <c r="B60" s="4" t="s">
        <v>682</v>
      </c>
      <c r="C60" s="4" t="s">
        <v>707</v>
      </c>
      <c r="D60" s="4" t="s">
        <v>708</v>
      </c>
      <c r="E60" s="4" t="s">
        <v>509</v>
      </c>
      <c r="F60" s="5" t="s">
        <v>23</v>
      </c>
      <c r="G60" s="4" t="s">
        <v>709</v>
      </c>
    </row>
    <row r="61" customFormat="false" ht="15" hidden="false" customHeight="true" outlineLevel="0" collapsed="false">
      <c r="A61" s="4" t="s">
        <v>324</v>
      </c>
      <c r="B61" s="4" t="s">
        <v>682</v>
      </c>
      <c r="C61" s="4" t="s">
        <v>710</v>
      </c>
      <c r="D61" s="4" t="s">
        <v>711</v>
      </c>
      <c r="E61" s="4" t="s">
        <v>509</v>
      </c>
      <c r="F61" s="5" t="s">
        <v>23</v>
      </c>
      <c r="G61" s="4" t="s">
        <v>712</v>
      </c>
    </row>
    <row r="62" customFormat="false" ht="15" hidden="false" customHeight="true" outlineLevel="0" collapsed="false">
      <c r="A62" s="4" t="s">
        <v>303</v>
      </c>
      <c r="B62" s="4" t="s">
        <v>682</v>
      </c>
      <c r="C62" s="4" t="s">
        <v>537</v>
      </c>
      <c r="D62" s="4" t="s">
        <v>521</v>
      </c>
      <c r="E62" s="4" t="s">
        <v>509</v>
      </c>
      <c r="F62" s="5" t="s">
        <v>23</v>
      </c>
      <c r="G62" s="4" t="s">
        <v>713</v>
      </c>
    </row>
    <row r="63" customFormat="false" ht="15" hidden="false" customHeight="true" outlineLevel="0" collapsed="false">
      <c r="A63" s="4" t="s">
        <v>714</v>
      </c>
      <c r="B63" s="4" t="s">
        <v>692</v>
      </c>
      <c r="C63" s="4" t="s">
        <v>715</v>
      </c>
      <c r="D63" s="4" t="s">
        <v>195</v>
      </c>
      <c r="E63" s="4" t="s">
        <v>509</v>
      </c>
      <c r="F63" s="4" t="s">
        <v>23</v>
      </c>
      <c r="G63" s="4" t="s">
        <v>716</v>
      </c>
    </row>
    <row r="64" customFormat="false" ht="15" hidden="false" customHeight="true" outlineLevel="0" collapsed="false">
      <c r="A64" s="4" t="s">
        <v>205</v>
      </c>
      <c r="B64" s="4" t="s">
        <v>682</v>
      </c>
      <c r="C64" s="4" t="s">
        <v>717</v>
      </c>
      <c r="D64" s="4" t="s">
        <v>200</v>
      </c>
      <c r="E64" s="4" t="s">
        <v>518</v>
      </c>
      <c r="F64" s="5" t="s">
        <v>23</v>
      </c>
      <c r="G64" s="4" t="s">
        <v>718</v>
      </c>
    </row>
    <row r="65" customFormat="false" ht="15" hidden="false" customHeight="true" outlineLevel="0" collapsed="false">
      <c r="A65" s="4" t="s">
        <v>392</v>
      </c>
      <c r="B65" s="4" t="s">
        <v>719</v>
      </c>
      <c r="C65" s="4" t="s">
        <v>720</v>
      </c>
      <c r="D65" s="4" t="s">
        <v>389</v>
      </c>
      <c r="E65" s="4" t="s">
        <v>576</v>
      </c>
      <c r="F65" s="5" t="s">
        <v>23</v>
      </c>
      <c r="G65" s="4" t="s">
        <v>721</v>
      </c>
    </row>
    <row r="66" customFormat="false" ht="15" hidden="false" customHeight="true" outlineLevel="0" collapsed="false">
      <c r="A66" s="4" t="s">
        <v>722</v>
      </c>
      <c r="B66" s="4" t="s">
        <v>682</v>
      </c>
      <c r="C66" s="4" t="s">
        <v>723</v>
      </c>
      <c r="D66" s="4" t="s">
        <v>724</v>
      </c>
      <c r="E66" s="4" t="s">
        <v>518</v>
      </c>
      <c r="F66" s="5" t="s">
        <v>23</v>
      </c>
      <c r="G66" s="4" t="s">
        <v>725</v>
      </c>
    </row>
    <row r="67" customFormat="false" ht="15" hidden="false" customHeight="true" outlineLevel="0" collapsed="false">
      <c r="A67" s="4" t="s">
        <v>726</v>
      </c>
      <c r="B67" s="4" t="s">
        <v>692</v>
      </c>
      <c r="C67" s="4" t="s">
        <v>727</v>
      </c>
      <c r="D67" s="4" t="s">
        <v>307</v>
      </c>
      <c r="E67" s="4" t="s">
        <v>518</v>
      </c>
      <c r="F67" s="5" t="s">
        <v>23</v>
      </c>
      <c r="G67" s="4" t="s">
        <v>728</v>
      </c>
    </row>
    <row r="68" customFormat="false" ht="15" hidden="false" customHeight="true" outlineLevel="0" collapsed="false">
      <c r="A68" s="4" t="s">
        <v>729</v>
      </c>
      <c r="B68" s="4" t="s">
        <v>583</v>
      </c>
      <c r="C68" s="4" t="s">
        <v>730</v>
      </c>
      <c r="D68" s="4" t="s">
        <v>402</v>
      </c>
      <c r="E68" s="4" t="s">
        <v>509</v>
      </c>
      <c r="F68" s="5" t="s">
        <v>23</v>
      </c>
      <c r="G68" s="4" t="s">
        <v>731</v>
      </c>
    </row>
    <row r="69" customFormat="false" ht="15" hidden="false" customHeight="true" outlineLevel="0" collapsed="false">
      <c r="A69" s="4" t="s">
        <v>432</v>
      </c>
      <c r="B69" s="4" t="s">
        <v>583</v>
      </c>
      <c r="C69" s="4" t="s">
        <v>732</v>
      </c>
      <c r="D69" s="4" t="s">
        <v>733</v>
      </c>
      <c r="E69" s="4" t="s">
        <v>576</v>
      </c>
      <c r="F69" s="5" t="s">
        <v>23</v>
      </c>
      <c r="G69" s="4" t="s">
        <v>734</v>
      </c>
    </row>
    <row r="70" customFormat="false" ht="15" hidden="false" customHeight="true" outlineLevel="0" collapsed="false">
      <c r="A70" s="4" t="s">
        <v>735</v>
      </c>
      <c r="B70" s="4" t="s">
        <v>583</v>
      </c>
      <c r="C70" s="4" t="s">
        <v>736</v>
      </c>
      <c r="D70" s="4" t="s">
        <v>737</v>
      </c>
      <c r="E70" s="4" t="s">
        <v>509</v>
      </c>
      <c r="F70" s="5" t="s">
        <v>23</v>
      </c>
      <c r="G70" s="4" t="s">
        <v>738</v>
      </c>
    </row>
    <row r="71" customFormat="false" ht="15" hidden="false" customHeight="true" outlineLevel="0" collapsed="false">
      <c r="A71" s="4" t="s">
        <v>739</v>
      </c>
      <c r="B71" s="4" t="s">
        <v>682</v>
      </c>
      <c r="C71" s="4" t="s">
        <v>740</v>
      </c>
      <c r="D71" s="4" t="s">
        <v>741</v>
      </c>
      <c r="E71" s="4" t="s">
        <v>509</v>
      </c>
      <c r="F71" s="5" t="s">
        <v>23</v>
      </c>
      <c r="G71" s="4" t="s">
        <v>742</v>
      </c>
    </row>
    <row r="72" customFormat="false" ht="15" hidden="false" customHeight="true" outlineLevel="0" collapsed="false">
      <c r="A72" s="4" t="s">
        <v>743</v>
      </c>
      <c r="B72" s="4" t="s">
        <v>682</v>
      </c>
      <c r="C72" s="4" t="s">
        <v>744</v>
      </c>
      <c r="D72" s="4" t="s">
        <v>745</v>
      </c>
      <c r="E72" s="4" t="s">
        <v>509</v>
      </c>
      <c r="F72" s="5" t="s">
        <v>23</v>
      </c>
      <c r="G72" s="4" t="s">
        <v>746</v>
      </c>
    </row>
    <row r="73" customFormat="false" ht="15" hidden="false" customHeight="true" outlineLevel="0" collapsed="false">
      <c r="A73" s="4" t="s">
        <v>747</v>
      </c>
      <c r="B73" s="4" t="s">
        <v>682</v>
      </c>
      <c r="C73" s="4" t="s">
        <v>748</v>
      </c>
      <c r="D73" s="4" t="s">
        <v>749</v>
      </c>
      <c r="E73" s="4" t="s">
        <v>509</v>
      </c>
      <c r="F73" s="5" t="s">
        <v>23</v>
      </c>
      <c r="G73" s="4" t="s">
        <v>750</v>
      </c>
    </row>
    <row r="74" customFormat="false" ht="15" hidden="false" customHeight="true" outlineLevel="0" collapsed="false">
      <c r="A74" s="4" t="s">
        <v>751</v>
      </c>
      <c r="B74" s="4" t="s">
        <v>752</v>
      </c>
      <c r="C74" s="4" t="s">
        <v>753</v>
      </c>
      <c r="D74" s="4" t="s">
        <v>754</v>
      </c>
      <c r="E74" s="4" t="s">
        <v>518</v>
      </c>
      <c r="F74" s="5" t="s">
        <v>23</v>
      </c>
      <c r="G74" s="4" t="s">
        <v>755</v>
      </c>
    </row>
    <row r="75" customFormat="false" ht="15" hidden="false" customHeight="true" outlineLevel="0" collapsed="false">
      <c r="A75" s="4" t="s">
        <v>756</v>
      </c>
      <c r="B75" s="4" t="s">
        <v>752</v>
      </c>
      <c r="C75" s="4" t="s">
        <v>757</v>
      </c>
      <c r="D75" s="4" t="s">
        <v>754</v>
      </c>
      <c r="E75" s="4" t="s">
        <v>518</v>
      </c>
      <c r="F75" s="5" t="s">
        <v>23</v>
      </c>
      <c r="G75" s="4" t="s">
        <v>758</v>
      </c>
    </row>
    <row r="76" customFormat="false" ht="15" hidden="false" customHeight="true" outlineLevel="0" collapsed="false">
      <c r="A76" s="3" t="s">
        <v>759</v>
      </c>
      <c r="B76" s="8"/>
      <c r="C76" s="8"/>
      <c r="D76" s="8"/>
      <c r="E76" s="8"/>
      <c r="F76" s="8"/>
      <c r="G76" s="9"/>
    </row>
    <row r="77" customFormat="false" ht="15" hidden="false" customHeight="true" outlineLevel="0" collapsed="false">
      <c r="A77" s="4" t="s">
        <v>83</v>
      </c>
      <c r="B77" s="4" t="s">
        <v>760</v>
      </c>
      <c r="C77" s="4" t="s">
        <v>761</v>
      </c>
      <c r="D77" s="4" t="s">
        <v>762</v>
      </c>
      <c r="E77" s="4" t="s">
        <v>518</v>
      </c>
      <c r="F77" s="5" t="s">
        <v>23</v>
      </c>
      <c r="G77" s="4" t="s">
        <v>763</v>
      </c>
    </row>
    <row r="78" customFormat="false" ht="15" hidden="false" customHeight="false" outlineLevel="0" collapsed="false">
      <c r="A78" s="4" t="s">
        <v>764</v>
      </c>
      <c r="B78" s="4" t="s">
        <v>760</v>
      </c>
      <c r="C78" s="4" t="s">
        <v>765</v>
      </c>
      <c r="D78" s="4" t="s">
        <v>766</v>
      </c>
      <c r="E78" s="4" t="s">
        <v>547</v>
      </c>
      <c r="F78" s="5" t="s">
        <v>23</v>
      </c>
      <c r="G78" s="4" t="s">
        <v>767</v>
      </c>
    </row>
    <row r="79" customFormat="false" ht="15" hidden="false" customHeight="false" outlineLevel="0" collapsed="false">
      <c r="A79" s="4" t="s">
        <v>768</v>
      </c>
      <c r="B79" s="4" t="s">
        <v>760</v>
      </c>
      <c r="C79" s="4" t="s">
        <v>769</v>
      </c>
      <c r="D79" s="4" t="s">
        <v>770</v>
      </c>
      <c r="E79" s="4" t="s">
        <v>518</v>
      </c>
      <c r="F79" s="6" t="s">
        <v>58</v>
      </c>
      <c r="G79" s="4" t="s">
        <v>771</v>
      </c>
    </row>
    <row r="80" customFormat="false" ht="15" hidden="false" customHeight="false" outlineLevel="0" collapsed="false">
      <c r="A80" s="4" t="s">
        <v>167</v>
      </c>
      <c r="B80" s="4" t="s">
        <v>760</v>
      </c>
      <c r="C80" s="4" t="s">
        <v>772</v>
      </c>
      <c r="D80" s="4" t="s">
        <v>773</v>
      </c>
      <c r="E80" s="4" t="s">
        <v>547</v>
      </c>
      <c r="F80" s="5" t="s">
        <v>23</v>
      </c>
      <c r="G80" s="4" t="s">
        <v>767</v>
      </c>
    </row>
    <row r="81" customFormat="false" ht="15" hidden="false" customHeight="false" outlineLevel="0" collapsed="false">
      <c r="A81" s="4" t="s">
        <v>774</v>
      </c>
      <c r="B81" s="4" t="s">
        <v>775</v>
      </c>
      <c r="C81" s="4" t="s">
        <v>776</v>
      </c>
      <c r="D81" s="4" t="s">
        <v>777</v>
      </c>
      <c r="E81" s="4" t="s">
        <v>518</v>
      </c>
      <c r="F81" s="5" t="s">
        <v>23</v>
      </c>
      <c r="G81" s="4" t="s">
        <v>778</v>
      </c>
    </row>
    <row r="82" customFormat="false" ht="15" hidden="false" customHeight="false" outlineLevel="0" collapsed="false">
      <c r="A82" s="4" t="s">
        <v>779</v>
      </c>
      <c r="B82" s="4" t="s">
        <v>780</v>
      </c>
      <c r="C82" s="4" t="s">
        <v>781</v>
      </c>
      <c r="D82" s="4" t="s">
        <v>782</v>
      </c>
      <c r="E82" s="4" t="s">
        <v>547</v>
      </c>
      <c r="F82" s="5" t="s">
        <v>23</v>
      </c>
      <c r="G82" s="4" t="s">
        <v>783</v>
      </c>
    </row>
    <row r="83" customFormat="false" ht="15" hidden="false" customHeight="false" outlineLevel="0" collapsed="false">
      <c r="A83" s="4" t="s">
        <v>784</v>
      </c>
      <c r="B83" s="4" t="s">
        <v>785</v>
      </c>
      <c r="C83" s="4" t="s">
        <v>786</v>
      </c>
      <c r="D83" s="4" t="s">
        <v>787</v>
      </c>
      <c r="E83" s="4" t="s">
        <v>547</v>
      </c>
      <c r="F83" s="5" t="s">
        <v>23</v>
      </c>
      <c r="G83" s="4" t="s">
        <v>788</v>
      </c>
    </row>
    <row r="84" customFormat="false" ht="15" hidden="false" customHeight="false" outlineLevel="0" collapsed="false">
      <c r="A84" s="4" t="s">
        <v>789</v>
      </c>
      <c r="B84" s="4" t="s">
        <v>760</v>
      </c>
      <c r="C84" s="4" t="s">
        <v>790</v>
      </c>
      <c r="D84" s="4" t="s">
        <v>782</v>
      </c>
      <c r="E84" s="4" t="s">
        <v>547</v>
      </c>
      <c r="F84" s="5" t="s">
        <v>23</v>
      </c>
      <c r="G84" s="4" t="s">
        <v>791</v>
      </c>
    </row>
    <row r="85" customFormat="false" ht="15" hidden="false" customHeight="false" outlineLevel="0" collapsed="false">
      <c r="A85" s="4" t="s">
        <v>792</v>
      </c>
      <c r="B85" s="4" t="s">
        <v>760</v>
      </c>
      <c r="C85" s="4" t="s">
        <v>793</v>
      </c>
      <c r="D85" s="4" t="s">
        <v>794</v>
      </c>
      <c r="E85" s="4" t="s">
        <v>518</v>
      </c>
      <c r="F85" s="5" t="s">
        <v>23</v>
      </c>
      <c r="G85" s="4" t="s">
        <v>795</v>
      </c>
    </row>
    <row r="86" customFormat="false" ht="15" hidden="false" customHeight="false" outlineLevel="0" collapsed="false">
      <c r="A86" s="4" t="s">
        <v>796</v>
      </c>
      <c r="B86" s="4" t="s">
        <v>797</v>
      </c>
      <c r="C86" s="4" t="s">
        <v>798</v>
      </c>
      <c r="D86" s="4" t="s">
        <v>697</v>
      </c>
      <c r="E86" s="4" t="s">
        <v>509</v>
      </c>
      <c r="F86" s="6" t="s">
        <v>58</v>
      </c>
      <c r="G86" s="4" t="s">
        <v>799</v>
      </c>
    </row>
    <row r="87" customFormat="false" ht="15" hidden="false" customHeight="false" outlineLevel="0" collapsed="false">
      <c r="A87" s="4" t="s">
        <v>800</v>
      </c>
      <c r="B87" s="4" t="s">
        <v>797</v>
      </c>
      <c r="C87" s="4" t="s">
        <v>801</v>
      </c>
      <c r="D87" s="4" t="s">
        <v>697</v>
      </c>
      <c r="E87" s="4" t="s">
        <v>509</v>
      </c>
      <c r="F87" s="6" t="s">
        <v>58</v>
      </c>
      <c r="G87" s="4" t="s">
        <v>802</v>
      </c>
    </row>
    <row r="88" customFormat="false" ht="15" hidden="false" customHeight="false" outlineLevel="0" collapsed="false">
      <c r="A88" s="4" t="s">
        <v>803</v>
      </c>
      <c r="B88" s="4" t="s">
        <v>804</v>
      </c>
      <c r="C88" s="4" t="s">
        <v>805</v>
      </c>
      <c r="D88" s="4" t="s">
        <v>806</v>
      </c>
      <c r="E88" s="4" t="s">
        <v>547</v>
      </c>
      <c r="F88" s="5" t="s">
        <v>23</v>
      </c>
      <c r="G88" s="4" t="s">
        <v>807</v>
      </c>
    </row>
    <row r="89" customFormat="false" ht="15" hidden="false" customHeight="false" outlineLevel="0" collapsed="false">
      <c r="A89" s="4" t="s">
        <v>808</v>
      </c>
      <c r="B89" s="4" t="s">
        <v>804</v>
      </c>
      <c r="C89" s="4" t="s">
        <v>809</v>
      </c>
      <c r="D89" s="4" t="s">
        <v>810</v>
      </c>
      <c r="E89" s="4" t="s">
        <v>509</v>
      </c>
      <c r="F89" s="6" t="s">
        <v>58</v>
      </c>
      <c r="G89" s="4" t="s">
        <v>811</v>
      </c>
    </row>
    <row r="90" customFormat="false" ht="15" hidden="false" customHeight="false" outlineLevel="0" collapsed="false">
      <c r="A90" s="4" t="s">
        <v>372</v>
      </c>
      <c r="B90" s="4" t="s">
        <v>797</v>
      </c>
      <c r="C90" s="4" t="s">
        <v>812</v>
      </c>
      <c r="D90" s="4" t="s">
        <v>813</v>
      </c>
      <c r="E90" s="4" t="s">
        <v>547</v>
      </c>
      <c r="F90" s="5" t="s">
        <v>23</v>
      </c>
      <c r="G90" s="4" t="s">
        <v>814</v>
      </c>
    </row>
  </sheetData>
  <autoFilter ref="A1:G90"/>
  <mergeCells count="4">
    <mergeCell ref="A2:G2"/>
    <mergeCell ref="A19:G19"/>
    <mergeCell ref="A47:G47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11" t="s">
        <v>815</v>
      </c>
    </row>
    <row r="3" customFormat="false" ht="15" hidden="false" customHeight="true" outlineLevel="0" collapsed="false">
      <c r="A3" s="12"/>
    </row>
    <row r="4" customFormat="false" ht="15" hidden="false" customHeight="true" outlineLevel="0" collapsed="false">
      <c r="A4" s="12" t="s">
        <v>816</v>
      </c>
      <c r="B4" s="12" t="n">
        <f aca="false">COUNTA('Platform Matrix'!A:A)-1</f>
        <v>86</v>
      </c>
    </row>
    <row r="5" customFormat="false" ht="15" hidden="false" customHeight="true" outlineLevel="0" collapsed="false">
      <c r="A5" s="12"/>
    </row>
    <row r="6" customFormat="false" ht="15" hidden="false" customHeight="true" outlineLevel="0" collapsed="false">
      <c r="A6" s="13" t="s">
        <v>817</v>
      </c>
    </row>
    <row r="7" customFormat="false" ht="15" hidden="false" customHeight="true" outlineLevel="0" collapsed="false">
      <c r="A7" s="12" t="s">
        <v>818</v>
      </c>
      <c r="B7" s="12" t="n">
        <f aca="false">COUNTIF('Platform Matrix'!E:E,"*Z80*")</f>
        <v>27</v>
      </c>
    </row>
    <row r="8" customFormat="false" ht="15" hidden="false" customHeight="true" outlineLevel="0" collapsed="false">
      <c r="A8" s="12" t="s">
        <v>819</v>
      </c>
      <c r="B8" s="12" t="n">
        <f aca="false">COUNTIF('Platform Matrix'!E:E,"*6502*")+COUNTIF('Platform Matrix'!E:E,"*6510*")+COUNTIF('Platform Matrix'!E:E,"*65C02*")+COUNTIF('Platform Matrix'!E:E,"*65C816*")+COUNTIF('Platform Matrix'!E:E,"*2A03*")+COUNTIF('Platform Matrix'!E:E,"*7501*")+COUNTIF('Platform Matrix'!E:E,"*8502*")</f>
        <v>23</v>
      </c>
    </row>
    <row r="9" customFormat="false" ht="15" hidden="false" customHeight="true" outlineLevel="0" collapsed="false">
      <c r="A9" s="12" t="s">
        <v>820</v>
      </c>
      <c r="B9" s="12" t="n">
        <f aca="false">COUNTIF('Platform Matrix'!E:E,"*68000*")+COUNTIF('Platform Matrix'!E:E,"*68EC020*")+COUNTIF('Platform Matrix'!E:E,"*68040*")+COUNTIF('Platform Matrix'!E:E,"*68030*")+COUNTIF('Platform Matrix'!E:E,"*68008*")</f>
        <v>12</v>
      </c>
    </row>
    <row r="10" customFormat="false" ht="15" hidden="false" customHeight="true" outlineLevel="0" collapsed="false">
      <c r="A10" s="12" t="s">
        <v>821</v>
      </c>
      <c r="B10" s="12" t="n">
        <f aca="false">COUNTIF('Platform Matrix'!E:E,"*6809*")</f>
        <v>5</v>
      </c>
    </row>
    <row r="11" customFormat="false" ht="15" hidden="false" customHeight="true" outlineLevel="0" collapsed="false">
      <c r="A11" s="13" t="s">
        <v>822</v>
      </c>
    </row>
    <row r="12" customFormat="false" ht="15" hidden="false" customHeight="true" outlineLevel="0" collapsed="false">
      <c r="A12" s="12"/>
    </row>
    <row r="13" customFormat="false" ht="15" hidden="false" customHeight="true" outlineLevel="0" collapsed="false">
      <c r="A13" s="13" t="s">
        <v>823</v>
      </c>
    </row>
    <row r="14" customFormat="false" ht="15" hidden="false" customHeight="true" outlineLevel="0" collapsed="false">
      <c r="A14" s="12" t="s">
        <v>824</v>
      </c>
      <c r="B14" s="12" t="n">
        <f aca="false">COUNTIF('Platform Matrix'!G:G,"*TMS9*")+COUNTIF('Platform Matrix'!G:G,"*9918*")+COUNTIF('Platform Matrix'!G:G,"*9928*")+COUNTIF('Platform Matrix'!G:G,"*9929*")+COUNTIF('Platform Matrix'!G:G,"*9129*")</f>
        <v>20</v>
      </c>
    </row>
    <row r="15" customFormat="false" ht="15" hidden="false" customHeight="true" outlineLevel="0" collapsed="false">
      <c r="A15" s="12"/>
    </row>
    <row r="16" customFormat="false" ht="15" hidden="false" customHeight="true" outlineLevel="0" collapsed="false">
      <c r="A16" s="13" t="s">
        <v>825</v>
      </c>
    </row>
    <row r="17" customFormat="false" ht="15" hidden="false" customHeight="true" outlineLevel="0" collapsed="false">
      <c r="A17" s="12" t="s">
        <v>826</v>
      </c>
      <c r="B17" s="12" t="n">
        <f aca="false">COUNTIF('Platform Matrix'!H:H,"*AY*")+COUNTIF('Platform Matrix'!H:H,"*YM2149*")</f>
        <v>14</v>
      </c>
    </row>
    <row r="18" customFormat="false" ht="15" hidden="false" customHeight="true" outlineLevel="0" collapsed="false">
      <c r="A18" s="12" t="s">
        <v>827</v>
      </c>
      <c r="B18" s="12" t="n">
        <f aca="false">COUNTIF('Platform Matrix'!H:H,"*SN76489*")+COUNTIF('Platform Matrix'!H:H,"*76489*")</f>
        <v>20</v>
      </c>
    </row>
    <row r="19" customFormat="false" ht="15" hidden="false" customHeight="true" outlineLevel="0" collapsed="false">
      <c r="A19" s="12"/>
    </row>
    <row r="20" customFormat="false" ht="15" hidden="false" customHeight="true" outlineLevel="0" collapsed="false">
      <c r="A20" s="13" t="s">
        <v>505</v>
      </c>
    </row>
    <row r="21" customFormat="false" ht="15" hidden="false" customHeight="true" outlineLevel="0" collapsed="false">
      <c r="A21" s="12" t="s">
        <v>828</v>
      </c>
      <c r="B21" s="12" t="n">
        <f aca="false">COUNTIF('Platform Matrix'!K:K,"DONE")</f>
        <v>0</v>
      </c>
    </row>
    <row r="22" customFormat="false" ht="15" hidden="false" customHeight="true" outlineLevel="0" collapsed="false">
      <c r="A22" s="12" t="s">
        <v>829</v>
      </c>
      <c r="B22" s="12" t="n">
        <f aca="false">COUNTIF('Platform Matrix'!K:K,"WIP")</f>
        <v>6</v>
      </c>
    </row>
    <row r="23" customFormat="false" ht="15" hidden="false" customHeight="true" outlineLevel="0" collapsed="false">
      <c r="A23" s="12" t="s">
        <v>830</v>
      </c>
      <c r="B23" s="12" t="n">
        <f aca="false">COUNTIF('Platform Matrix'!K:K,"TODO")</f>
        <v>73</v>
      </c>
    </row>
    <row r="24" customFormat="false" ht="15" hidden="false" customHeight="true" outlineLevel="0" collapsed="false">
      <c r="A24" s="12"/>
    </row>
    <row r="25" customFormat="false" ht="15" hidden="false" customHeight="true" outlineLevel="0" collapsed="false">
      <c r="A25" s="12" t="s">
        <v>831</v>
      </c>
      <c r="B25" s="12" t="n">
        <f aca="false">COUNTIF('Component Library'!F:F,"DONE")</f>
        <v>2</v>
      </c>
    </row>
    <row r="26" customFormat="false" ht="15" hidden="false" customHeight="true" outlineLevel="0" collapsed="false">
      <c r="A26" s="12" t="s">
        <v>832</v>
      </c>
      <c r="B26" s="12" t="n">
        <f aca="false">COUNTIF('Component Library'!F:F,"WIP")</f>
        <v>14</v>
      </c>
    </row>
    <row r="27" customFormat="false" ht="15" hidden="false" customHeight="true" outlineLevel="0" collapsed="false">
      <c r="A27" s="12" t="s">
        <v>833</v>
      </c>
      <c r="B27" s="12" t="n">
        <f aca="false">COUNTIF('Component Library'!F:F,"TODO")</f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2026-03-14T12:16:48Z</dcterms:created>
  <dc:creator>openpyxl</dc:creator>
  <dc:description/>
  <dc:language>en-US</dc:language>
  <cp:lastModifiedBy/>
  <dcterms:modified xsi:type="dcterms:W3CDTF">2026-03-14T12:24:13Z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